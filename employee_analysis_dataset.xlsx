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pr\Downloads\"/>
    </mc:Choice>
  </mc:AlternateContent>
  <xr:revisionPtr revIDLastSave="0" documentId="13_ncr:1_{92CF95D1-7D33-451C-B526-D2D5D095A2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4" r:id="rId1"/>
    <sheet name="Employee_Data" sheetId="1" r:id="rId2"/>
    <sheet name="Descriptive_Statistics" sheetId="2" r:id="rId3"/>
  </sheets>
  <definedNames>
    <definedName name="_xlchart.v2.0" hidden="1">Employee_Data!$A$2:$C$26</definedName>
    <definedName name="_xlchart.v2.1" hidden="1">Employee_Data!$D$1</definedName>
    <definedName name="_xlchart.v2.10" hidden="1">Employee_Data!$H$2:$H$26</definedName>
    <definedName name="_xlchart.v2.11" hidden="1">Employee_Data!$I$1</definedName>
    <definedName name="_xlchart.v2.12" hidden="1">Employee_Data!$I$2:$I$26</definedName>
    <definedName name="_xlchart.v2.13" hidden="1">Employee_Data!$J$1</definedName>
    <definedName name="_xlchart.v2.14" hidden="1">Employee_Data!$J$2:$J$26</definedName>
    <definedName name="_xlchart.v2.15" hidden="1">Employee_Data!$K$1</definedName>
    <definedName name="_xlchart.v2.16" hidden="1">Employee_Data!$K$2:$K$26</definedName>
    <definedName name="_xlchart.v2.17" hidden="1">Employee_Data!$L$1</definedName>
    <definedName name="_xlchart.v2.18" hidden="1">Employee_Data!$L$2:$L$26</definedName>
    <definedName name="_xlchart.v2.19" hidden="1">Employee_Data!$A$2:$C$26</definedName>
    <definedName name="_xlchart.v2.2" hidden="1">Employee_Data!$D$2:$D$26</definedName>
    <definedName name="_xlchart.v2.20" hidden="1">Employee_Data!$D$1</definedName>
    <definedName name="_xlchart.v2.21" hidden="1">Employee_Data!$D$2:$D$26</definedName>
    <definedName name="_xlchart.v2.22" hidden="1">Employee_Data!$E$1</definedName>
    <definedName name="_xlchart.v2.23" hidden="1">Employee_Data!$E$2:$E$26</definedName>
    <definedName name="_xlchart.v2.24" hidden="1">Employee_Data!$F$1</definedName>
    <definedName name="_xlchart.v2.25" hidden="1">Employee_Data!$F$2:$F$26</definedName>
    <definedName name="_xlchart.v2.26" hidden="1">Employee_Data!$G$1</definedName>
    <definedName name="_xlchart.v2.27" hidden="1">Employee_Data!$G$2:$G$26</definedName>
    <definedName name="_xlchart.v2.28" hidden="1">Employee_Data!$H$1</definedName>
    <definedName name="_xlchart.v2.29" hidden="1">Employee_Data!$H$2:$H$26</definedName>
    <definedName name="_xlchart.v2.3" hidden="1">Employee_Data!$E$1</definedName>
    <definedName name="_xlchart.v2.30" hidden="1">Employee_Data!$I$1</definedName>
    <definedName name="_xlchart.v2.31" hidden="1">Employee_Data!$I$2:$I$26</definedName>
    <definedName name="_xlchart.v2.32" hidden="1">Employee_Data!$J$1</definedName>
    <definedName name="_xlchart.v2.33" hidden="1">Employee_Data!$J$2:$J$26</definedName>
    <definedName name="_xlchart.v2.34" hidden="1">Employee_Data!$K$1</definedName>
    <definedName name="_xlchart.v2.35" hidden="1">Employee_Data!$K$2:$K$26</definedName>
    <definedName name="_xlchart.v2.36" hidden="1">Employee_Data!$L$1</definedName>
    <definedName name="_xlchart.v2.37" hidden="1">Employee_Data!$L$2:$L$26</definedName>
    <definedName name="_xlchart.v2.4" hidden="1">Employee_Data!$E$2:$E$26</definedName>
    <definedName name="_xlchart.v2.5" hidden="1">Employee_Data!$F$1</definedName>
    <definedName name="_xlchart.v2.6" hidden="1">Employee_Data!$F$2:$F$26</definedName>
    <definedName name="_xlchart.v2.7" hidden="1">Employee_Data!$G$1</definedName>
    <definedName name="_xlchart.v2.8" hidden="1">Employee_Data!$G$2:$G$26</definedName>
    <definedName name="_xlchart.v2.9" hidden="1">Employee_Data!$H$1</definedName>
  </definedNames>
  <calcPr calcId="191029"/>
</workbook>
</file>

<file path=xl/calcChain.xml><?xml version="1.0" encoding="utf-8"?>
<calcChain xmlns="http://schemas.openxmlformats.org/spreadsheetml/2006/main">
  <c r="B6" i="2" l="1"/>
  <c r="B5" i="2"/>
  <c r="J2" i="1"/>
  <c r="K2" i="1"/>
  <c r="B10" i="2"/>
  <c r="B9" i="2"/>
  <c r="B8" i="2"/>
  <c r="B7" i="2"/>
  <c r="B4" i="2"/>
  <c r="B3" i="2"/>
  <c r="B2" i="2"/>
  <c r="L2" i="1"/>
  <c r="I2" i="1"/>
  <c r="H2" i="1"/>
  <c r="G2" i="1"/>
  <c r="F2" i="1"/>
</calcChain>
</file>

<file path=xl/sharedStrings.xml><?xml version="1.0" encoding="utf-8"?>
<sst xmlns="http://schemas.openxmlformats.org/spreadsheetml/2006/main" count="123" uniqueCount="101">
  <si>
    <t>Emp ID</t>
  </si>
  <si>
    <t>Employee Name</t>
  </si>
  <si>
    <t>Department</t>
  </si>
  <si>
    <t>Experience</t>
  </si>
  <si>
    <t>Salary</t>
  </si>
  <si>
    <t>MEAN</t>
  </si>
  <si>
    <t>MEDIAN</t>
  </si>
  <si>
    <t>MODE</t>
  </si>
  <si>
    <t>RANGE</t>
  </si>
  <si>
    <t>VARIANCE</t>
  </si>
  <si>
    <t>STD DEVIATION</t>
  </si>
  <si>
    <t>CORRELATION</t>
  </si>
  <si>
    <t>E001</t>
  </si>
  <si>
    <t>Ravi Kumar</t>
  </si>
  <si>
    <t>IT</t>
  </si>
  <si>
    <t>E002</t>
  </si>
  <si>
    <t>Sneha Rao</t>
  </si>
  <si>
    <t>HR</t>
  </si>
  <si>
    <t>E003</t>
  </si>
  <si>
    <t>Arjun Mehta</t>
  </si>
  <si>
    <t>Finance</t>
  </si>
  <si>
    <t>E004</t>
  </si>
  <si>
    <t>Priya Nair</t>
  </si>
  <si>
    <t>E005</t>
  </si>
  <si>
    <t>Karan Singh</t>
  </si>
  <si>
    <t>Marketing</t>
  </si>
  <si>
    <t>E006</t>
  </si>
  <si>
    <t>Neha Patel</t>
  </si>
  <si>
    <t>E007</t>
  </si>
  <si>
    <t>Rohit Das</t>
  </si>
  <si>
    <t>E008</t>
  </si>
  <si>
    <t>Anjali Verma</t>
  </si>
  <si>
    <t>E009</t>
  </si>
  <si>
    <t>Vikram Rao</t>
  </si>
  <si>
    <t>E010</t>
  </si>
  <si>
    <t>Meera Joshi</t>
  </si>
  <si>
    <t>E011</t>
  </si>
  <si>
    <t>Aman Jain</t>
  </si>
  <si>
    <t>E012</t>
  </si>
  <si>
    <t>Divya Sharma</t>
  </si>
  <si>
    <t>E013</t>
  </si>
  <si>
    <t>Suresh Reddy</t>
  </si>
  <si>
    <t>E014</t>
  </si>
  <si>
    <t>Kavya Menon</t>
  </si>
  <si>
    <t>E015</t>
  </si>
  <si>
    <t>Rahul Singh</t>
  </si>
  <si>
    <t>E016</t>
  </si>
  <si>
    <t>Pooja Nair</t>
  </si>
  <si>
    <t>E017</t>
  </si>
  <si>
    <t>Harish Kumar</t>
  </si>
  <si>
    <t>E018</t>
  </si>
  <si>
    <t>Riya Das</t>
  </si>
  <si>
    <t>E019</t>
  </si>
  <si>
    <t>Deepak Verma</t>
  </si>
  <si>
    <t>E020</t>
  </si>
  <si>
    <t>Snehal Iyer</t>
  </si>
  <si>
    <t>E021</t>
  </si>
  <si>
    <t>Manoj Patel</t>
  </si>
  <si>
    <t>E022</t>
  </si>
  <si>
    <t>Aarti Rao</t>
  </si>
  <si>
    <t>E023</t>
  </si>
  <si>
    <t>Vinay Sharma</t>
  </si>
  <si>
    <t>E024</t>
  </si>
  <si>
    <t>Tanya Gupta</t>
  </si>
  <si>
    <t>E025</t>
  </si>
  <si>
    <t>Kunal Jain</t>
  </si>
  <si>
    <t>Statistic</t>
  </si>
  <si>
    <t>Value</t>
  </si>
  <si>
    <t>Mean</t>
  </si>
  <si>
    <t>Median</t>
  </si>
  <si>
    <t>Mode</t>
  </si>
  <si>
    <t>Standard Deviation</t>
  </si>
  <si>
    <t>Variance</t>
  </si>
  <si>
    <t>Minimum</t>
  </si>
  <si>
    <t>Maximum</t>
  </si>
  <si>
    <t>Range</t>
  </si>
  <si>
    <t>Count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</si>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</sst>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Employee_Data!$D$1</c:f>
              <c:strCache>
                <c:ptCount val="1"/>
                <c:pt idx="0">
                  <c:v>Experience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Employee_Data!$D$2:$D$26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8</c:v>
                </c:pt>
                <c:pt idx="19">
                  <c:v>4</c:v>
                </c:pt>
                <c:pt idx="20">
                  <c:v>6</c:v>
                </c:pt>
                <c:pt idx="21">
                  <c:v>7</c:v>
                </c:pt>
                <c:pt idx="22">
                  <c:v>3</c:v>
                </c:pt>
                <c:pt idx="23">
                  <c:v>5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3-4165-8094-7953E3DDDFFC}"/>
            </c:ext>
          </c:extLst>
        </c:ser>
        <c:ser>
          <c:idx val="1"/>
          <c:order val="1"/>
          <c:tx>
            <c:strRef>
              <c:f>Employee_Data!$E$1</c:f>
              <c:strCache>
                <c:ptCount val="1"/>
                <c:pt idx="0">
                  <c:v>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Employee_Data!$E$2:$E$26</c:f>
              <c:numCache>
                <c:formatCode>General</c:formatCode>
                <c:ptCount val="25"/>
                <c:pt idx="0">
                  <c:v>35000</c:v>
                </c:pt>
                <c:pt idx="1">
                  <c:v>48000</c:v>
                </c:pt>
                <c:pt idx="2">
                  <c:v>62000</c:v>
                </c:pt>
                <c:pt idx="3">
                  <c:v>41000</c:v>
                </c:pt>
                <c:pt idx="4">
                  <c:v>55000</c:v>
                </c:pt>
                <c:pt idx="5">
                  <c:v>36000</c:v>
                </c:pt>
                <c:pt idx="6">
                  <c:v>70000</c:v>
                </c:pt>
                <c:pt idx="7">
                  <c:v>50000</c:v>
                </c:pt>
                <c:pt idx="8">
                  <c:v>64000</c:v>
                </c:pt>
                <c:pt idx="9">
                  <c:v>42000</c:v>
                </c:pt>
                <c:pt idx="10">
                  <c:v>58000</c:v>
                </c:pt>
                <c:pt idx="11">
                  <c:v>76000</c:v>
                </c:pt>
                <c:pt idx="12">
                  <c:v>51000</c:v>
                </c:pt>
                <c:pt idx="13">
                  <c:v>62000</c:v>
                </c:pt>
                <c:pt idx="14">
                  <c:v>72000</c:v>
                </c:pt>
                <c:pt idx="15">
                  <c:v>43000</c:v>
                </c:pt>
                <c:pt idx="16">
                  <c:v>34000</c:v>
                </c:pt>
                <c:pt idx="17">
                  <c:v>57000</c:v>
                </c:pt>
                <c:pt idx="18">
                  <c:v>79000</c:v>
                </c:pt>
                <c:pt idx="19">
                  <c:v>52000</c:v>
                </c:pt>
                <c:pt idx="20">
                  <c:v>65000</c:v>
                </c:pt>
                <c:pt idx="21">
                  <c:v>71000</c:v>
                </c:pt>
                <c:pt idx="22">
                  <c:v>44000</c:v>
                </c:pt>
                <c:pt idx="23">
                  <c:v>59000</c:v>
                </c:pt>
                <c:pt idx="2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3-4165-8094-7953E3DDDFFC}"/>
            </c:ext>
          </c:extLst>
        </c:ser>
        <c:ser>
          <c:idx val="2"/>
          <c:order val="2"/>
          <c:tx>
            <c:strRef>
              <c:f>Employee_Data!$F$1</c:f>
              <c:strCache>
                <c:ptCount val="1"/>
                <c:pt idx="0">
                  <c:v>MEAN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Employee_Data!$F$2:$F$26</c:f>
              <c:numCache>
                <c:formatCode>General</c:formatCode>
                <c:ptCount val="25"/>
                <c:pt idx="0">
                  <c:v>55040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63-4165-8094-7953E3DDDFFC}"/>
            </c:ext>
          </c:extLst>
        </c:ser>
        <c:ser>
          <c:idx val="3"/>
          <c:order val="3"/>
          <c:tx>
            <c:strRef>
              <c:f>Employee_Data!$G$1</c:f>
              <c:strCache>
                <c:ptCount val="1"/>
                <c:pt idx="0">
                  <c:v>MEDIAN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Employee_Data!$G$2:$G$26</c:f>
              <c:numCache>
                <c:formatCode>General</c:formatCode>
                <c:ptCount val="25"/>
                <c:pt idx="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63-4165-8094-7953E3DDDFFC}"/>
            </c:ext>
          </c:extLst>
        </c:ser>
        <c:ser>
          <c:idx val="4"/>
          <c:order val="4"/>
          <c:tx>
            <c:strRef>
              <c:f>Employee_Data!$H$1</c:f>
              <c:strCache>
                <c:ptCount val="1"/>
                <c:pt idx="0">
                  <c:v>MODE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Employee_Data!$H$2:$H$26</c:f>
              <c:numCache>
                <c:formatCode>General</c:formatCode>
                <c:ptCount val="25"/>
                <c:pt idx="0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63-4165-8094-7953E3DDDFFC}"/>
            </c:ext>
          </c:extLst>
        </c:ser>
        <c:ser>
          <c:idx val="5"/>
          <c:order val="5"/>
          <c:tx>
            <c:strRef>
              <c:f>Employee_Data!$I$1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Employee_Data!$I$2:$I$26</c:f>
              <c:numCache>
                <c:formatCode>General</c:formatCode>
                <c:ptCount val="25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63-4165-8094-7953E3DDDFFC}"/>
            </c:ext>
          </c:extLst>
        </c:ser>
        <c:ser>
          <c:idx val="6"/>
          <c:order val="6"/>
          <c:tx>
            <c:strRef>
              <c:f>Employee_Data!$J$1</c:f>
              <c:strCache>
                <c:ptCount val="1"/>
                <c:pt idx="0">
                  <c:v>VARIANCE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Employee_Data!$J$2:$J$26</c:f>
              <c:numCache>
                <c:formatCode>General</c:formatCode>
                <c:ptCount val="25"/>
                <c:pt idx="0">
                  <c:v>168790000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63-4165-8094-7953E3DDDFFC}"/>
            </c:ext>
          </c:extLst>
        </c:ser>
        <c:ser>
          <c:idx val="7"/>
          <c:order val="7"/>
          <c:tx>
            <c:strRef>
              <c:f>Employee_Data!$K$1</c:f>
              <c:strCache>
                <c:ptCount val="1"/>
                <c:pt idx="0">
                  <c:v>STD DEVIATION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Employee_Data!$K$2:$K$26</c:f>
              <c:numCache>
                <c:formatCode>General</c:formatCode>
                <c:ptCount val="25"/>
                <c:pt idx="0">
                  <c:v>12991.920566259632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63-4165-8094-7953E3DDDFFC}"/>
            </c:ext>
          </c:extLst>
        </c:ser>
        <c:ser>
          <c:idx val="8"/>
          <c:order val="8"/>
          <c:tx>
            <c:strRef>
              <c:f>Employee_Data!$L$1</c:f>
              <c:strCache>
                <c:ptCount val="1"/>
                <c:pt idx="0">
                  <c:v>CORRELATION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Employee_Data!$A$2:$C$26</c:f>
              <c:multiLvlStrCache>
                <c:ptCount val="25"/>
                <c:lvl>
                  <c:pt idx="0">
                    <c:v>IT</c:v>
                  </c:pt>
                  <c:pt idx="1">
                    <c:v>HR</c:v>
                  </c:pt>
                  <c:pt idx="2">
                    <c:v>Finance</c:v>
                  </c:pt>
                  <c:pt idx="3">
                    <c:v>IT</c:v>
                  </c:pt>
                  <c:pt idx="4">
                    <c:v>Marketing</c:v>
                  </c:pt>
                  <c:pt idx="5">
                    <c:v>HR</c:v>
                  </c:pt>
                  <c:pt idx="6">
                    <c:v>Finance</c:v>
                  </c:pt>
                  <c:pt idx="7">
                    <c:v>IT</c:v>
                  </c:pt>
                  <c:pt idx="8">
                    <c:v>Marketing</c:v>
                  </c:pt>
                  <c:pt idx="9">
                    <c:v>HR</c:v>
                  </c:pt>
                  <c:pt idx="10">
                    <c:v>IT</c:v>
                  </c:pt>
                  <c:pt idx="11">
                    <c:v>Finance</c:v>
                  </c:pt>
                  <c:pt idx="12">
                    <c:v>Marketing</c:v>
                  </c:pt>
                  <c:pt idx="13">
                    <c:v>HR</c:v>
                  </c:pt>
                  <c:pt idx="14">
                    <c:v>IT</c:v>
                  </c:pt>
                  <c:pt idx="15">
                    <c:v>Finance</c:v>
                  </c:pt>
                  <c:pt idx="16">
                    <c:v>Marketing</c:v>
                  </c:pt>
                  <c:pt idx="17">
                    <c:v>HR</c:v>
                  </c:pt>
                  <c:pt idx="18">
                    <c:v>IT</c:v>
                  </c:pt>
                  <c:pt idx="19">
                    <c:v>Finance</c:v>
                  </c:pt>
                  <c:pt idx="20">
                    <c:v>Marketing</c:v>
                  </c:pt>
                  <c:pt idx="21">
                    <c:v>HR</c:v>
                  </c:pt>
                  <c:pt idx="22">
                    <c:v>IT</c:v>
                  </c:pt>
                  <c:pt idx="23">
                    <c:v>Finance</c:v>
                  </c:pt>
                  <c:pt idx="24">
                    <c:v>Marketing</c:v>
                  </c:pt>
                </c:lvl>
                <c:lvl>
                  <c:pt idx="0">
                    <c:v>Ravi Kumar</c:v>
                  </c:pt>
                  <c:pt idx="1">
                    <c:v>Sneha Rao</c:v>
                  </c:pt>
                  <c:pt idx="2">
                    <c:v>Arjun Mehta</c:v>
                  </c:pt>
                  <c:pt idx="3">
                    <c:v>Priya Nair</c:v>
                  </c:pt>
                  <c:pt idx="4">
                    <c:v>Karan Singh</c:v>
                  </c:pt>
                  <c:pt idx="5">
                    <c:v>Neha Patel</c:v>
                  </c:pt>
                  <c:pt idx="6">
                    <c:v>Rohit Das</c:v>
                  </c:pt>
                  <c:pt idx="7">
                    <c:v>Anjali Verma</c:v>
                  </c:pt>
                  <c:pt idx="8">
                    <c:v>Vikram Rao</c:v>
                  </c:pt>
                  <c:pt idx="9">
                    <c:v>Meera Joshi</c:v>
                  </c:pt>
                  <c:pt idx="10">
                    <c:v>Aman Jain</c:v>
                  </c:pt>
                  <c:pt idx="11">
                    <c:v>Divya Sharma</c:v>
                  </c:pt>
                  <c:pt idx="12">
                    <c:v>Suresh Reddy</c:v>
                  </c:pt>
                  <c:pt idx="13">
                    <c:v>Kavya Menon</c:v>
                  </c:pt>
                  <c:pt idx="14">
                    <c:v>Rahul Singh</c:v>
                  </c:pt>
                  <c:pt idx="15">
                    <c:v>Pooja Nair</c:v>
                  </c:pt>
                  <c:pt idx="16">
                    <c:v>Harish Kumar</c:v>
                  </c:pt>
                  <c:pt idx="17">
                    <c:v>Riya Das</c:v>
                  </c:pt>
                  <c:pt idx="18">
                    <c:v>Deepak Verma</c:v>
                  </c:pt>
                  <c:pt idx="19">
                    <c:v>Snehal Iyer</c:v>
                  </c:pt>
                  <c:pt idx="20">
                    <c:v>Manoj Patel</c:v>
                  </c:pt>
                  <c:pt idx="21">
                    <c:v>Aarti Rao</c:v>
                  </c:pt>
                  <c:pt idx="22">
                    <c:v>Vinay Sharma</c:v>
                  </c:pt>
                  <c:pt idx="23">
                    <c:v>Tanya Gupta</c:v>
                  </c:pt>
                  <c:pt idx="24">
                    <c:v>Kunal Jain</c:v>
                  </c:pt>
                </c:lvl>
                <c:lvl>
                  <c:pt idx="0">
                    <c:v>E001</c:v>
                  </c:pt>
                  <c:pt idx="1">
                    <c:v>E002</c:v>
                  </c:pt>
                  <c:pt idx="2">
                    <c:v>E003</c:v>
                  </c:pt>
                  <c:pt idx="3">
                    <c:v>E004</c:v>
                  </c:pt>
                  <c:pt idx="4">
                    <c:v>E005</c:v>
                  </c:pt>
                  <c:pt idx="5">
                    <c:v>E006</c:v>
                  </c:pt>
                  <c:pt idx="6">
                    <c:v>E007</c:v>
                  </c:pt>
                  <c:pt idx="7">
                    <c:v>E008</c:v>
                  </c:pt>
                  <c:pt idx="8">
                    <c:v>E009</c:v>
                  </c:pt>
                  <c:pt idx="9">
                    <c:v>E010</c:v>
                  </c:pt>
                  <c:pt idx="10">
                    <c:v>E011</c:v>
                  </c:pt>
                  <c:pt idx="11">
                    <c:v>E012</c:v>
                  </c:pt>
                  <c:pt idx="12">
                    <c:v>E013</c:v>
                  </c:pt>
                  <c:pt idx="13">
                    <c:v>E014</c:v>
                  </c:pt>
                  <c:pt idx="14">
                    <c:v>E015</c:v>
                  </c:pt>
                  <c:pt idx="15">
                    <c:v>E016</c:v>
                  </c:pt>
                  <c:pt idx="16">
                    <c:v>E017</c:v>
                  </c:pt>
                  <c:pt idx="17">
                    <c:v>E018</c:v>
                  </c:pt>
                  <c:pt idx="18">
                    <c:v>E019</c:v>
                  </c:pt>
                  <c:pt idx="19">
                    <c:v>E020</c:v>
                  </c:pt>
                  <c:pt idx="20">
                    <c:v>E021</c:v>
                  </c:pt>
                  <c:pt idx="21">
                    <c:v>E022</c:v>
                  </c:pt>
                  <c:pt idx="22">
                    <c:v>E023</c:v>
                  </c:pt>
                  <c:pt idx="23">
                    <c:v>E024</c:v>
                  </c:pt>
                  <c:pt idx="24">
                    <c:v>E025</c:v>
                  </c:pt>
                </c:lvl>
              </c:multiLvlStrCache>
            </c:multiLvlStrRef>
          </c:cat>
          <c:val>
            <c:numRef>
              <c:f>Employee_Data!$L$2:$L$26</c:f>
              <c:numCache>
                <c:formatCode>General</c:formatCode>
                <c:ptCount val="25"/>
                <c:pt idx="0">
                  <c:v>0.99470223885714493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63-4165-8094-7953E3DD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  <cx:data id="2">
      <cx:strDim type="cat">
        <cx:f>_xlchart.v2.0</cx:f>
      </cx:strDim>
      <cx:numDim type="val">
        <cx:f>_xlchart.v2.6</cx:f>
      </cx:numDim>
    </cx:data>
    <cx:data id="3">
      <cx:strDim type="cat">
        <cx:f>_xlchart.v2.0</cx:f>
      </cx:strDim>
      <cx:numDim type="val">
        <cx:f>_xlchart.v2.8</cx:f>
      </cx:numDim>
    </cx:data>
    <cx:data id="4">
      <cx:strDim type="cat">
        <cx:f>_xlchart.v2.0</cx:f>
      </cx:strDim>
      <cx:numDim type="val">
        <cx:f>_xlchart.v2.10</cx:f>
      </cx:numDim>
    </cx:data>
    <cx:data id="5">
      <cx:strDim type="cat">
        <cx:f>_xlchart.v2.0</cx:f>
      </cx:strDim>
      <cx:numDim type="val">
        <cx:f>_xlchart.v2.12</cx:f>
      </cx:numDim>
    </cx:data>
    <cx:data id="6">
      <cx:strDim type="cat">
        <cx:f>_xlchart.v2.0</cx:f>
      </cx:strDim>
      <cx:numDim type="val">
        <cx:f>_xlchart.v2.14</cx:f>
      </cx:numDim>
    </cx:data>
    <cx:data id="7">
      <cx:strDim type="cat">
        <cx:f>_xlchart.v2.0</cx:f>
      </cx:strDim>
      <cx:numDim type="val">
        <cx:f>_xlchart.v2.16</cx:f>
      </cx:numDim>
    </cx:data>
    <cx:data id="8">
      <cx:strDim type="cat">
        <cx:f>_xlchart.v2.0</cx:f>
      </cx:strDim>
      <cx:numDim type="val">
        <cx:f>_xlchart.v2.18</cx:f>
      </cx:numDim>
    </cx:data>
  </cx:chartData>
  <cx:chart>
    <cx:title pos="t" align="ctr" overlay="0"/>
    <cx:plotArea>
      <cx:plotAreaRegion>
        <cx:series layoutId="funnel" uniqueId="{EE637E67-5B0A-4ECF-BBA1-65B634959967}" formatIdx="0">
          <cx:tx>
            <cx:txData>
              <cx:f>_xlchart.v2.1</cx:f>
              <cx:v>Experience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E556049B-660C-48F6-B2BB-90BDBE9D9511}" formatIdx="1">
          <cx:tx>
            <cx:txData>
              <cx:f>_xlchart.v2.3</cx:f>
              <cx:v>Salary</cx:v>
            </cx:txData>
          </cx:tx>
          <cx:dataLabels>
            <cx:visibility seriesName="0" categoryName="0" value="1"/>
          </cx:dataLabels>
          <cx:dataId val="1"/>
        </cx:series>
        <cx:series layoutId="funnel" hidden="1" uniqueId="{C5D3374E-12B4-46A9-BA16-688838930EE6}" formatIdx="2">
          <cx:tx>
            <cx:txData>
              <cx:f>_xlchart.v2.5</cx:f>
              <cx:v>MEAN</cx:v>
            </cx:txData>
          </cx:tx>
          <cx:dataLabels>
            <cx:visibility seriesName="0" categoryName="0" value="1"/>
          </cx:dataLabels>
          <cx:dataId val="2"/>
        </cx:series>
        <cx:series layoutId="funnel" hidden="1" uniqueId="{F60933D0-CB1A-4AF3-92B6-032058D9B004}" formatIdx="3">
          <cx:tx>
            <cx:txData>
              <cx:f>_xlchart.v2.7</cx:f>
              <cx:v>MEDIAN</cx:v>
            </cx:txData>
          </cx:tx>
          <cx:dataLabels>
            <cx:visibility seriesName="0" categoryName="0" value="1"/>
          </cx:dataLabels>
          <cx:dataId val="3"/>
        </cx:series>
        <cx:series layoutId="funnel" hidden="1" uniqueId="{F8B73119-A180-43DE-A132-9C8153A326E4}" formatIdx="4">
          <cx:tx>
            <cx:txData>
              <cx:f>_xlchart.v2.9</cx:f>
              <cx:v>MODE</cx:v>
            </cx:txData>
          </cx:tx>
          <cx:dataLabels>
            <cx:visibility seriesName="0" categoryName="0" value="1"/>
          </cx:dataLabels>
          <cx:dataId val="4"/>
        </cx:series>
        <cx:series layoutId="funnel" hidden="1" uniqueId="{8A3F2665-519A-460B-A691-BD7653A6F402}" formatIdx="5">
          <cx:tx>
            <cx:txData>
              <cx:f>_xlchart.v2.11</cx:f>
              <cx:v>RANGE</cx:v>
            </cx:txData>
          </cx:tx>
          <cx:dataLabels>
            <cx:visibility seriesName="0" categoryName="0" value="1"/>
          </cx:dataLabels>
          <cx:dataId val="5"/>
        </cx:series>
        <cx:series layoutId="funnel" hidden="1" uniqueId="{DFD4C7BA-DFB3-4C84-B20A-1E7AAFCE8B94}" formatIdx="6">
          <cx:tx>
            <cx:txData>
              <cx:f>_xlchart.v2.13</cx:f>
              <cx:v>VARIANCE</cx:v>
            </cx:txData>
          </cx:tx>
          <cx:dataLabels>
            <cx:visibility seriesName="0" categoryName="0" value="1"/>
          </cx:dataLabels>
          <cx:dataId val="6"/>
        </cx:series>
        <cx:series layoutId="funnel" hidden="1" uniqueId="{67BDADE6-6AA6-4310-9DA0-8EB94BCC070F}" formatIdx="7">
          <cx:tx>
            <cx:txData>
              <cx:f>_xlchart.v2.15</cx:f>
              <cx:v>STD DEVIATION</cx:v>
            </cx:txData>
          </cx:tx>
          <cx:dataLabels>
            <cx:visibility seriesName="0" categoryName="0" value="1"/>
          </cx:dataLabels>
          <cx:dataId val="7"/>
        </cx:series>
        <cx:series layoutId="funnel" hidden="1" uniqueId="{71805C13-4B5E-42ED-A3E4-3B139757727A}" formatIdx="8">
          <cx:tx>
            <cx:txData>
              <cx:f>_xlchart.v2.17</cx:f>
              <cx:v>CORRELATION</cx:v>
            </cx:txData>
          </cx:tx>
          <cx:dataLabels>
            <cx:visibility seriesName="0" categoryName="0" value="1"/>
          </cx:dataLabels>
          <cx:dataId val="8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1021080</xdr:colOff>
      <xdr:row>2</xdr:row>
      <xdr:rowOff>133350</xdr:rowOff>
    </xdr:from>
    <xdr:to>
      <xdr:col>8</xdr:col>
      <xdr:colOff>1546860</xdr:colOff>
      <xdr:row>17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C3CD53-C379-1897-FC32-15D2B869DE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1680" y="499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1127760</xdr:colOff>
      <xdr:row>19</xdr:row>
      <xdr:rowOff>64770</xdr:rowOff>
    </xdr:from>
    <xdr:to>
      <xdr:col>8</xdr:col>
      <xdr:colOff>1653540</xdr:colOff>
      <xdr:row>34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E85D5-7F9D-B0A6-EE87-F261E8B5B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7071-A381-4B03-BC65-12781BD81FC1}">
  <dimension ref="A1:I18"/>
  <sheetViews>
    <sheetView workbookViewId="0">
      <selection activeCell="L17" sqref="L17"/>
    </sheetView>
  </sheetViews>
  <sheetFormatPr defaultRowHeight="14.4" x14ac:dyDescent="0.3"/>
  <sheetData>
    <row r="1" spans="1:9" x14ac:dyDescent="0.3">
      <c r="A1" t="s">
        <v>77</v>
      </c>
    </row>
    <row r="2" spans="1:9" ht="15" thickBot="1" x14ac:dyDescent="0.35"/>
    <row r="3" spans="1:9" x14ac:dyDescent="0.3">
      <c r="A3" s="4" t="s">
        <v>78</v>
      </c>
      <c r="B3" s="4"/>
    </row>
    <row r="4" spans="1:9" x14ac:dyDescent="0.3">
      <c r="A4" t="s">
        <v>79</v>
      </c>
      <c r="B4">
        <v>0.99414267622229524</v>
      </c>
    </row>
    <row r="5" spans="1:9" x14ac:dyDescent="0.3">
      <c r="A5" t="s">
        <v>80</v>
      </c>
      <c r="B5">
        <v>0.98831966068642729</v>
      </c>
    </row>
    <row r="6" spans="1:9" x14ac:dyDescent="0.3">
      <c r="A6" t="s">
        <v>81</v>
      </c>
      <c r="B6">
        <v>0.987788736172174</v>
      </c>
    </row>
    <row r="7" spans="1:9" x14ac:dyDescent="0.3">
      <c r="A7" t="s">
        <v>82</v>
      </c>
      <c r="B7">
        <v>1388.7583171990073</v>
      </c>
    </row>
    <row r="8" spans="1:9" ht="15" thickBot="1" x14ac:dyDescent="0.35">
      <c r="A8" s="2" t="s">
        <v>83</v>
      </c>
      <c r="B8" s="2">
        <v>24</v>
      </c>
    </row>
    <row r="10" spans="1:9" ht="15" thickBot="1" x14ac:dyDescent="0.35">
      <c r="A10" t="s">
        <v>84</v>
      </c>
    </row>
    <row r="11" spans="1:9" x14ac:dyDescent="0.3">
      <c r="A11" s="3"/>
      <c r="B11" s="3" t="s">
        <v>89</v>
      </c>
      <c r="C11" s="3" t="s">
        <v>90</v>
      </c>
      <c r="D11" s="3" t="s">
        <v>91</v>
      </c>
      <c r="E11" s="3" t="s">
        <v>92</v>
      </c>
      <c r="F11" s="3" t="s">
        <v>93</v>
      </c>
    </row>
    <row r="12" spans="1:9" x14ac:dyDescent="0.3">
      <c r="A12" t="s">
        <v>85</v>
      </c>
      <c r="B12">
        <v>1</v>
      </c>
      <c r="C12">
        <v>3590194707.4010329</v>
      </c>
      <c r="D12">
        <v>3590194707.4010329</v>
      </c>
      <c r="E12">
        <v>1861.506926415711</v>
      </c>
      <c r="F12">
        <v>9.3356156481114242E-23</v>
      </c>
    </row>
    <row r="13" spans="1:9" x14ac:dyDescent="0.3">
      <c r="A13" t="s">
        <v>86</v>
      </c>
      <c r="B13">
        <v>22</v>
      </c>
      <c r="C13">
        <v>42430292.598967202</v>
      </c>
      <c r="D13">
        <v>1928649.6635894182</v>
      </c>
    </row>
    <row r="14" spans="1:9" ht="15" thickBot="1" x14ac:dyDescent="0.35">
      <c r="A14" s="2" t="s">
        <v>87</v>
      </c>
      <c r="B14" s="2">
        <v>23</v>
      </c>
      <c r="C14" s="2">
        <v>3632625000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94</v>
      </c>
      <c r="C16" s="3" t="s">
        <v>82</v>
      </c>
      <c r="D16" s="3" t="s">
        <v>95</v>
      </c>
      <c r="E16" s="3" t="s">
        <v>96</v>
      </c>
      <c r="F16" s="3" t="s">
        <v>97</v>
      </c>
      <c r="G16" s="3" t="s">
        <v>98</v>
      </c>
      <c r="H16" s="3" t="s">
        <v>99</v>
      </c>
      <c r="I16" s="3" t="s">
        <v>100</v>
      </c>
    </row>
    <row r="17" spans="1:9" x14ac:dyDescent="0.3">
      <c r="A17" t="s">
        <v>88</v>
      </c>
      <c r="B17">
        <v>21598.96729776245</v>
      </c>
      <c r="C17">
        <v>843.49685146572142</v>
      </c>
      <c r="D17">
        <v>25.606458708447477</v>
      </c>
      <c r="E17">
        <v>7.2054113110738082E-18</v>
      </c>
      <c r="F17">
        <v>19849.661894645847</v>
      </c>
      <c r="G17">
        <v>23348.272700879053</v>
      </c>
      <c r="H17">
        <v>19849.661894645847</v>
      </c>
      <c r="I17">
        <v>23348.272700879053</v>
      </c>
    </row>
    <row r="18" spans="1:9" ht="15" thickBot="1" x14ac:dyDescent="0.35">
      <c r="A18" s="2">
        <v>2</v>
      </c>
      <c r="B18" s="2">
        <v>7030.981067125651</v>
      </c>
      <c r="C18" s="2">
        <v>162.96096968226919</v>
      </c>
      <c r="D18" s="2">
        <v>43.145184278383994</v>
      </c>
      <c r="E18" s="2">
        <v>9.3356156481113572E-23</v>
      </c>
      <c r="F18" s="2">
        <v>6693.0207009820688</v>
      </c>
      <c r="G18" s="2">
        <v>7368.9414332692331</v>
      </c>
      <c r="H18" s="2">
        <v>6693.0207009820688</v>
      </c>
      <c r="I18" s="2">
        <v>7368.9414332692331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C1" workbookViewId="0">
      <selection activeCell="M23" sqref="M23"/>
    </sheetView>
  </sheetViews>
  <sheetFormatPr defaultRowHeight="14.4" x14ac:dyDescent="0.3"/>
  <cols>
    <col min="1" max="1" width="11" customWidth="1"/>
    <col min="2" max="2" width="18" customWidth="1"/>
    <col min="3" max="4" width="15" customWidth="1"/>
    <col min="5" max="5" width="11" customWidth="1"/>
    <col min="6" max="6" width="21" customWidth="1"/>
    <col min="7" max="7" width="20" customWidth="1"/>
    <col min="8" max="8" width="18" customWidth="1"/>
    <col min="9" max="9" width="29" customWidth="1"/>
    <col min="10" max="10" width="19" customWidth="1"/>
    <col min="11" max="11" width="21" customWidth="1"/>
    <col min="12" max="12" width="2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</v>
      </c>
      <c r="E2">
        <v>35000</v>
      </c>
      <c r="F2">
        <f>AVERAGE(E2:E26)</f>
        <v>55040</v>
      </c>
      <c r="G2">
        <f>MEDIAN(E2:E26)</f>
        <v>55000</v>
      </c>
      <c r="H2">
        <f>MODE(E2:E26)</f>
        <v>62000</v>
      </c>
      <c r="I2">
        <f>MAX(E2:E26)-MIN(E2:E26)</f>
        <v>45000</v>
      </c>
      <c r="J2">
        <f>_xlfn.VAR.S(E2:E26)</f>
        <v>168790000</v>
      </c>
      <c r="K2">
        <f>_xlfn.STDEV.S(E2:E26)</f>
        <v>12991.920566259632</v>
      </c>
      <c r="L2">
        <f>CORREL(D2:D26,E2:E26)</f>
        <v>0.99470223885714493</v>
      </c>
    </row>
    <row r="3" spans="1:12" x14ac:dyDescent="0.3">
      <c r="A3" t="s">
        <v>15</v>
      </c>
      <c r="B3" t="s">
        <v>16</v>
      </c>
      <c r="C3" t="s">
        <v>17</v>
      </c>
      <c r="D3">
        <v>4</v>
      </c>
      <c r="E3">
        <v>48000</v>
      </c>
    </row>
    <row r="4" spans="1:12" x14ac:dyDescent="0.3">
      <c r="A4" t="s">
        <v>18</v>
      </c>
      <c r="B4" t="s">
        <v>19</v>
      </c>
      <c r="C4" t="s">
        <v>20</v>
      </c>
      <c r="D4">
        <v>6</v>
      </c>
      <c r="E4">
        <v>62000</v>
      </c>
    </row>
    <row r="5" spans="1:12" x14ac:dyDescent="0.3">
      <c r="A5" t="s">
        <v>21</v>
      </c>
      <c r="B5" t="s">
        <v>22</v>
      </c>
      <c r="C5" t="s">
        <v>14</v>
      </c>
      <c r="D5">
        <v>3</v>
      </c>
      <c r="E5">
        <v>41000</v>
      </c>
    </row>
    <row r="6" spans="1:12" x14ac:dyDescent="0.3">
      <c r="A6" t="s">
        <v>23</v>
      </c>
      <c r="B6" t="s">
        <v>24</v>
      </c>
      <c r="C6" t="s">
        <v>25</v>
      </c>
      <c r="D6">
        <v>5</v>
      </c>
      <c r="E6">
        <v>55000</v>
      </c>
    </row>
    <row r="7" spans="1:12" x14ac:dyDescent="0.3">
      <c r="A7" t="s">
        <v>26</v>
      </c>
      <c r="B7" t="s">
        <v>27</v>
      </c>
      <c r="C7" t="s">
        <v>17</v>
      </c>
      <c r="D7">
        <v>2</v>
      </c>
      <c r="E7">
        <v>36000</v>
      </c>
    </row>
    <row r="8" spans="1:12" x14ac:dyDescent="0.3">
      <c r="A8" t="s">
        <v>28</v>
      </c>
      <c r="B8" t="s">
        <v>29</v>
      </c>
      <c r="C8" t="s">
        <v>20</v>
      </c>
      <c r="D8">
        <v>7</v>
      </c>
      <c r="E8">
        <v>70000</v>
      </c>
    </row>
    <row r="9" spans="1:12" x14ac:dyDescent="0.3">
      <c r="A9" t="s">
        <v>30</v>
      </c>
      <c r="B9" t="s">
        <v>31</v>
      </c>
      <c r="C9" t="s">
        <v>14</v>
      </c>
      <c r="D9">
        <v>4</v>
      </c>
      <c r="E9">
        <v>50000</v>
      </c>
    </row>
    <row r="10" spans="1:12" x14ac:dyDescent="0.3">
      <c r="A10" t="s">
        <v>32</v>
      </c>
      <c r="B10" t="s">
        <v>33</v>
      </c>
      <c r="C10" t="s">
        <v>25</v>
      </c>
      <c r="D10">
        <v>6</v>
      </c>
      <c r="E10">
        <v>64000</v>
      </c>
    </row>
    <row r="11" spans="1:12" x14ac:dyDescent="0.3">
      <c r="A11" t="s">
        <v>34</v>
      </c>
      <c r="B11" t="s">
        <v>35</v>
      </c>
      <c r="C11" t="s">
        <v>17</v>
      </c>
      <c r="D11">
        <v>3</v>
      </c>
      <c r="E11">
        <v>42000</v>
      </c>
    </row>
    <row r="12" spans="1:12" x14ac:dyDescent="0.3">
      <c r="A12" t="s">
        <v>36</v>
      </c>
      <c r="B12" t="s">
        <v>37</v>
      </c>
      <c r="C12" t="s">
        <v>14</v>
      </c>
      <c r="D12">
        <v>5</v>
      </c>
      <c r="E12">
        <v>58000</v>
      </c>
    </row>
    <row r="13" spans="1:12" x14ac:dyDescent="0.3">
      <c r="A13" t="s">
        <v>38</v>
      </c>
      <c r="B13" t="s">
        <v>39</v>
      </c>
      <c r="C13" t="s">
        <v>20</v>
      </c>
      <c r="D13">
        <v>8</v>
      </c>
      <c r="E13">
        <v>76000</v>
      </c>
    </row>
    <row r="14" spans="1:12" x14ac:dyDescent="0.3">
      <c r="A14" t="s">
        <v>40</v>
      </c>
      <c r="B14" t="s">
        <v>41</v>
      </c>
      <c r="C14" t="s">
        <v>25</v>
      </c>
      <c r="D14">
        <v>4</v>
      </c>
      <c r="E14">
        <v>51000</v>
      </c>
    </row>
    <row r="15" spans="1:12" x14ac:dyDescent="0.3">
      <c r="A15" t="s">
        <v>42</v>
      </c>
      <c r="B15" t="s">
        <v>43</v>
      </c>
      <c r="C15" t="s">
        <v>17</v>
      </c>
      <c r="D15">
        <v>6</v>
      </c>
      <c r="E15">
        <v>62000</v>
      </c>
    </row>
    <row r="16" spans="1:12" x14ac:dyDescent="0.3">
      <c r="A16" t="s">
        <v>44</v>
      </c>
      <c r="B16" t="s">
        <v>45</v>
      </c>
      <c r="C16" t="s">
        <v>14</v>
      </c>
      <c r="D16">
        <v>7</v>
      </c>
      <c r="E16">
        <v>72000</v>
      </c>
    </row>
    <row r="17" spans="1:5" x14ac:dyDescent="0.3">
      <c r="A17" t="s">
        <v>46</v>
      </c>
      <c r="B17" t="s">
        <v>47</v>
      </c>
      <c r="C17" t="s">
        <v>20</v>
      </c>
      <c r="D17">
        <v>3</v>
      </c>
      <c r="E17">
        <v>43000</v>
      </c>
    </row>
    <row r="18" spans="1:5" x14ac:dyDescent="0.3">
      <c r="A18" t="s">
        <v>48</v>
      </c>
      <c r="B18" t="s">
        <v>49</v>
      </c>
      <c r="C18" t="s">
        <v>25</v>
      </c>
      <c r="D18">
        <v>2</v>
      </c>
      <c r="E18">
        <v>34000</v>
      </c>
    </row>
    <row r="19" spans="1:5" x14ac:dyDescent="0.3">
      <c r="A19" t="s">
        <v>50</v>
      </c>
      <c r="B19" t="s">
        <v>51</v>
      </c>
      <c r="C19" t="s">
        <v>17</v>
      </c>
      <c r="D19">
        <v>5</v>
      </c>
      <c r="E19">
        <v>57000</v>
      </c>
    </row>
    <row r="20" spans="1:5" x14ac:dyDescent="0.3">
      <c r="A20" t="s">
        <v>52</v>
      </c>
      <c r="B20" t="s">
        <v>53</v>
      </c>
      <c r="C20" t="s">
        <v>14</v>
      </c>
      <c r="D20">
        <v>8</v>
      </c>
      <c r="E20">
        <v>79000</v>
      </c>
    </row>
    <row r="21" spans="1:5" x14ac:dyDescent="0.3">
      <c r="A21" t="s">
        <v>54</v>
      </c>
      <c r="B21" t="s">
        <v>55</v>
      </c>
      <c r="C21" t="s">
        <v>20</v>
      </c>
      <c r="D21">
        <v>4</v>
      </c>
      <c r="E21">
        <v>52000</v>
      </c>
    </row>
    <row r="22" spans="1:5" x14ac:dyDescent="0.3">
      <c r="A22" t="s">
        <v>56</v>
      </c>
      <c r="B22" t="s">
        <v>57</v>
      </c>
      <c r="C22" t="s">
        <v>25</v>
      </c>
      <c r="D22">
        <v>6</v>
      </c>
      <c r="E22">
        <v>65000</v>
      </c>
    </row>
    <row r="23" spans="1:5" x14ac:dyDescent="0.3">
      <c r="A23" t="s">
        <v>58</v>
      </c>
      <c r="B23" t="s">
        <v>59</v>
      </c>
      <c r="C23" t="s">
        <v>17</v>
      </c>
      <c r="D23">
        <v>7</v>
      </c>
      <c r="E23">
        <v>71000</v>
      </c>
    </row>
    <row r="24" spans="1:5" x14ac:dyDescent="0.3">
      <c r="A24" t="s">
        <v>60</v>
      </c>
      <c r="B24" t="s">
        <v>61</v>
      </c>
      <c r="C24" t="s">
        <v>14</v>
      </c>
      <c r="D24">
        <v>3</v>
      </c>
      <c r="E24">
        <v>44000</v>
      </c>
    </row>
    <row r="25" spans="1:5" x14ac:dyDescent="0.3">
      <c r="A25" t="s">
        <v>62</v>
      </c>
      <c r="B25" t="s">
        <v>63</v>
      </c>
      <c r="C25" t="s">
        <v>20</v>
      </c>
      <c r="D25">
        <v>5</v>
      </c>
      <c r="E25">
        <v>59000</v>
      </c>
    </row>
    <row r="26" spans="1:5" x14ac:dyDescent="0.3">
      <c r="A26" t="s">
        <v>64</v>
      </c>
      <c r="B26" t="s">
        <v>65</v>
      </c>
      <c r="C26" t="s">
        <v>25</v>
      </c>
      <c r="D26">
        <v>4</v>
      </c>
      <c r="E26">
        <v>50000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7" sqref="B7"/>
    </sheetView>
  </sheetViews>
  <sheetFormatPr defaultRowHeight="14.4" x14ac:dyDescent="0.3"/>
  <cols>
    <col min="1" max="1" width="23" customWidth="1"/>
    <col min="2" max="2" width="57" customWidth="1"/>
  </cols>
  <sheetData>
    <row r="1" spans="1:2" x14ac:dyDescent="0.3">
      <c r="A1" s="1" t="s">
        <v>66</v>
      </c>
      <c r="B1" s="1" t="s">
        <v>67</v>
      </c>
    </row>
    <row r="2" spans="1:2" x14ac:dyDescent="0.3">
      <c r="A2" t="s">
        <v>68</v>
      </c>
      <c r="B2">
        <f>AVERAGE(Employee_Data!E2:E26)</f>
        <v>55040</v>
      </c>
    </row>
    <row r="3" spans="1:2" x14ac:dyDescent="0.3">
      <c r="A3" t="s">
        <v>69</v>
      </c>
      <c r="B3">
        <f>MEDIAN(Employee_Data!E2:E26)</f>
        <v>55000</v>
      </c>
    </row>
    <row r="4" spans="1:2" x14ac:dyDescent="0.3">
      <c r="A4" t="s">
        <v>70</v>
      </c>
      <c r="B4">
        <f>MODE(Employee_Data!E2:E26)</f>
        <v>62000</v>
      </c>
    </row>
    <row r="5" spans="1:2" x14ac:dyDescent="0.3">
      <c r="A5" t="s">
        <v>71</v>
      </c>
      <c r="B5">
        <f>_xlfn.STDEV.S(Employee_Data!E2:E26)</f>
        <v>12991.920566259632</v>
      </c>
    </row>
    <row r="6" spans="1:2" x14ac:dyDescent="0.3">
      <c r="A6" t="s">
        <v>72</v>
      </c>
      <c r="B6">
        <f>_xlfn.VAR.S(Employee_Data!E2:E26)</f>
        <v>168790000</v>
      </c>
    </row>
    <row r="7" spans="1:2" x14ac:dyDescent="0.3">
      <c r="A7" t="s">
        <v>73</v>
      </c>
      <c r="B7">
        <f>MIN(Employee_Data!E2:E26)</f>
        <v>34000</v>
      </c>
    </row>
    <row r="8" spans="1:2" x14ac:dyDescent="0.3">
      <c r="A8" t="s">
        <v>74</v>
      </c>
      <c r="B8">
        <f>MAX(Employee_Data!E2:E26)</f>
        <v>79000</v>
      </c>
    </row>
    <row r="9" spans="1:2" x14ac:dyDescent="0.3">
      <c r="A9" t="s">
        <v>75</v>
      </c>
      <c r="B9">
        <f>MAX(Employee_Data!E2:E26)-MIN(Employee_Data!E2:E26)</f>
        <v>45000</v>
      </c>
    </row>
    <row r="10" spans="1:2" x14ac:dyDescent="0.3">
      <c r="A10" t="s">
        <v>76</v>
      </c>
      <c r="B10">
        <f>COUNT(Employee_Data!E2:E26)</f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Employee_Data</vt:lpstr>
      <vt:lpstr>Descriptive_Statistics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pranav chaitanya</cp:lastModifiedBy>
  <dcterms:created xsi:type="dcterms:W3CDTF">2026-05-26T15:30:08Z</dcterms:created>
  <dcterms:modified xsi:type="dcterms:W3CDTF">2026-05-26T15:38:13Z</dcterms:modified>
</cp:coreProperties>
</file>