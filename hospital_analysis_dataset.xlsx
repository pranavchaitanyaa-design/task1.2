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pr\Downloads\"/>
    </mc:Choice>
  </mc:AlternateContent>
  <xr:revisionPtr revIDLastSave="0" documentId="13_ncr:1_{74B13FF1-3048-444A-8A6E-32DA2DE48C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Hospital_Data" sheetId="1" r:id="rId3"/>
  </sheets>
  <definedNames>
    <definedName name="_xlchart.v2.0" hidden="1">Hospital_Data!$A$2:$B$26</definedName>
    <definedName name="_xlchart.v2.1" hidden="1">Hospital_Data!$C$1</definedName>
    <definedName name="_xlchart.v2.10" hidden="1">Hospital_Data!$G$2:$G$26</definedName>
    <definedName name="_xlchart.v2.11" hidden="1">Hospital_Data!$H$1</definedName>
    <definedName name="_xlchart.v2.12" hidden="1">Hospital_Data!$H$2:$H$26</definedName>
    <definedName name="_xlchart.v2.13" hidden="1">Hospital_Data!$I$1</definedName>
    <definedName name="_xlchart.v2.14" hidden="1">Hospital_Data!$I$2:$I$26</definedName>
    <definedName name="_xlchart.v2.15" hidden="1">Hospital_Data!$J$1</definedName>
    <definedName name="_xlchart.v2.16" hidden="1">Hospital_Data!$J$2:$J$26</definedName>
    <definedName name="_xlchart.v2.17" hidden="1">Hospital_Data!$K$1</definedName>
    <definedName name="_xlchart.v2.18" hidden="1">Hospital_Data!$K$2:$K$26</definedName>
    <definedName name="_xlchart.v2.19" hidden="1">Hospital_Data!$L$1</definedName>
    <definedName name="_xlchart.v2.2" hidden="1">Hospital_Data!$C$2:$C$26</definedName>
    <definedName name="_xlchart.v2.20" hidden="1">Hospital_Data!$L$2:$L$26</definedName>
    <definedName name="_xlchart.v2.21" hidden="1">Hospital_Data!$A$2:$B$26</definedName>
    <definedName name="_xlchart.v2.22" hidden="1">Hospital_Data!$C$1</definedName>
    <definedName name="_xlchart.v2.23" hidden="1">Hospital_Data!$C$2:$C$26</definedName>
    <definedName name="_xlchart.v2.24" hidden="1">Hospital_Data!$D$1</definedName>
    <definedName name="_xlchart.v2.25" hidden="1">Hospital_Data!$D$2:$D$26</definedName>
    <definedName name="_xlchart.v2.26" hidden="1">Hospital_Data!$E$1</definedName>
    <definedName name="_xlchart.v2.27" hidden="1">Hospital_Data!$E$2:$E$26</definedName>
    <definedName name="_xlchart.v2.28" hidden="1">Hospital_Data!$F$1</definedName>
    <definedName name="_xlchart.v2.29" hidden="1">Hospital_Data!$F$2:$F$26</definedName>
    <definedName name="_xlchart.v2.3" hidden="1">Hospital_Data!$D$1</definedName>
    <definedName name="_xlchart.v2.30" hidden="1">Hospital_Data!$G$1</definedName>
    <definedName name="_xlchart.v2.31" hidden="1">Hospital_Data!$G$2:$G$26</definedName>
    <definedName name="_xlchart.v2.32" hidden="1">Hospital_Data!$H$1</definedName>
    <definedName name="_xlchart.v2.33" hidden="1">Hospital_Data!$H$2:$H$26</definedName>
    <definedName name="_xlchart.v2.34" hidden="1">Hospital_Data!$I$1</definedName>
    <definedName name="_xlchart.v2.35" hidden="1">Hospital_Data!$I$2:$I$26</definedName>
    <definedName name="_xlchart.v2.36" hidden="1">Hospital_Data!$J$1</definedName>
    <definedName name="_xlchart.v2.37" hidden="1">Hospital_Data!$J$2:$J$26</definedName>
    <definedName name="_xlchart.v2.38" hidden="1">Hospital_Data!$K$1</definedName>
    <definedName name="_xlchart.v2.39" hidden="1">Hospital_Data!$K$2:$K$26</definedName>
    <definedName name="_xlchart.v2.4" hidden="1">Hospital_Data!$D$2:$D$26</definedName>
    <definedName name="_xlchart.v2.40" hidden="1">Hospital_Data!$L$1</definedName>
    <definedName name="_xlchart.v2.41" hidden="1">Hospital_Data!$L$2:$L$26</definedName>
    <definedName name="_xlchart.v2.5" hidden="1">Hospital_Data!$E$1</definedName>
    <definedName name="_xlchart.v2.6" hidden="1">Hospital_Data!$E$2:$E$26</definedName>
    <definedName name="_xlchart.v2.7" hidden="1">Hospital_Data!$F$1</definedName>
    <definedName name="_xlchart.v2.8" hidden="1">Hospital_Data!$F$2:$F$26</definedName>
    <definedName name="_xlchart.v2.9" hidden="1">Hospital_Data!$G$1</definedName>
  </definedNames>
  <calcPr calcId="191029"/>
</workbook>
</file>

<file path=xl/calcChain.xml><?xml version="1.0" encoding="utf-8"?>
<calcChain xmlns="http://schemas.openxmlformats.org/spreadsheetml/2006/main">
  <c r="K2" i="1" l="1"/>
  <c r="J2" i="1"/>
  <c r="H2" i="1"/>
  <c r="L2" i="1"/>
  <c r="I2" i="1"/>
  <c r="G2" i="1"/>
  <c r="F2" i="1"/>
</calcChain>
</file>

<file path=xl/sharedStrings.xml><?xml version="1.0" encoding="utf-8"?>
<sst xmlns="http://schemas.openxmlformats.org/spreadsheetml/2006/main" count="100" uniqueCount="98">
  <si>
    <t>Patient ID</t>
  </si>
  <si>
    <t>Patient Name</t>
  </si>
  <si>
    <t>Age</t>
  </si>
  <si>
    <t>Days Admitted</t>
  </si>
  <si>
    <t>Medical Bill</t>
  </si>
  <si>
    <t>MEAN</t>
  </si>
  <si>
    <t>MEDIAN</t>
  </si>
  <si>
    <t>MODE</t>
  </si>
  <si>
    <t>RANGE</t>
  </si>
  <si>
    <t>VARIANCE</t>
  </si>
  <si>
    <t>STD DEVIATION</t>
  </si>
  <si>
    <t>CORRELATION</t>
  </si>
  <si>
    <t>P001</t>
  </si>
  <si>
    <t>Amit Shah</t>
  </si>
  <si>
    <t>P002</t>
  </si>
  <si>
    <t>Neha Reddy</t>
  </si>
  <si>
    <t>P003</t>
  </si>
  <si>
    <t>Rahul Das</t>
  </si>
  <si>
    <t>P004</t>
  </si>
  <si>
    <t>Kavya Menon</t>
  </si>
  <si>
    <t>P005</t>
  </si>
  <si>
    <t>Imran Ali</t>
  </si>
  <si>
    <t>P006</t>
  </si>
  <si>
    <t>Sneha Patel</t>
  </si>
  <si>
    <t>P007</t>
  </si>
  <si>
    <t>Rohit Kumar</t>
  </si>
  <si>
    <t>P008</t>
  </si>
  <si>
    <t>Pooja Rao</t>
  </si>
  <si>
    <t>P009</t>
  </si>
  <si>
    <t>Arjun Verma</t>
  </si>
  <si>
    <t>P010</t>
  </si>
  <si>
    <t>Meera Jain</t>
  </si>
  <si>
    <t>P011</t>
  </si>
  <si>
    <t>Suresh Das</t>
  </si>
  <si>
    <t>P012</t>
  </si>
  <si>
    <t>Tanya Singh</t>
  </si>
  <si>
    <t>P013</t>
  </si>
  <si>
    <t>Vikram Nair</t>
  </si>
  <si>
    <t>P014</t>
  </si>
  <si>
    <t>Divya Sharma</t>
  </si>
  <si>
    <t>P015</t>
  </si>
  <si>
    <t>Aman Gupta</t>
  </si>
  <si>
    <t>P016</t>
  </si>
  <si>
    <t>Neelam Joshi</t>
  </si>
  <si>
    <t>P017</t>
  </si>
  <si>
    <t>Harish Patel</t>
  </si>
  <si>
    <t>P018</t>
  </si>
  <si>
    <t>Riya Kapoor</t>
  </si>
  <si>
    <t>P019</t>
  </si>
  <si>
    <t>Manoj Kumar</t>
  </si>
  <si>
    <t>P020</t>
  </si>
  <si>
    <t>Aarti Das</t>
  </si>
  <si>
    <t>P021</t>
  </si>
  <si>
    <t>Vinay Rao</t>
  </si>
  <si>
    <t>P022</t>
  </si>
  <si>
    <t>Kunal Sharma</t>
  </si>
  <si>
    <t>P023</t>
  </si>
  <si>
    <t>Bhavana Menon</t>
  </si>
  <si>
    <t>P024</t>
  </si>
  <si>
    <t>Deepak Jain</t>
  </si>
  <si>
    <t>P025</t>
  </si>
  <si>
    <t>Sakshi Verma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</si>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</sst>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Hospital_Data!$C$1</c:f>
              <c:strCache>
                <c:ptCount val="1"/>
                <c:pt idx="0">
                  <c:v>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Hospital_Data!$C$2:$C$26</c:f>
              <c:numCache>
                <c:formatCode>General</c:formatCode>
                <c:ptCount val="25"/>
                <c:pt idx="0">
                  <c:v>25</c:v>
                </c:pt>
                <c:pt idx="1">
                  <c:v>40</c:v>
                </c:pt>
                <c:pt idx="2">
                  <c:v>32</c:v>
                </c:pt>
                <c:pt idx="3">
                  <c:v>28</c:v>
                </c:pt>
                <c:pt idx="4">
                  <c:v>50</c:v>
                </c:pt>
                <c:pt idx="5">
                  <c:v>35</c:v>
                </c:pt>
                <c:pt idx="6">
                  <c:v>29</c:v>
                </c:pt>
                <c:pt idx="7">
                  <c:v>45</c:v>
                </c:pt>
                <c:pt idx="8">
                  <c:v>38</c:v>
                </c:pt>
                <c:pt idx="9">
                  <c:v>31</c:v>
                </c:pt>
                <c:pt idx="10">
                  <c:v>60</c:v>
                </c:pt>
                <c:pt idx="11">
                  <c:v>27</c:v>
                </c:pt>
                <c:pt idx="12">
                  <c:v>42</c:v>
                </c:pt>
                <c:pt idx="13">
                  <c:v>36</c:v>
                </c:pt>
                <c:pt idx="14">
                  <c:v>33</c:v>
                </c:pt>
                <c:pt idx="15">
                  <c:v>48</c:v>
                </c:pt>
                <c:pt idx="16">
                  <c:v>52</c:v>
                </c:pt>
                <c:pt idx="17">
                  <c:v>30</c:v>
                </c:pt>
                <c:pt idx="18">
                  <c:v>55</c:v>
                </c:pt>
                <c:pt idx="19">
                  <c:v>41</c:v>
                </c:pt>
                <c:pt idx="20">
                  <c:v>37</c:v>
                </c:pt>
                <c:pt idx="21">
                  <c:v>46</c:v>
                </c:pt>
                <c:pt idx="22">
                  <c:v>34</c:v>
                </c:pt>
                <c:pt idx="23">
                  <c:v>58</c:v>
                </c:pt>
                <c:pt idx="2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B1A-9F8B-3C9E2ECEA415}"/>
            </c:ext>
          </c:extLst>
        </c:ser>
        <c:ser>
          <c:idx val="1"/>
          <c:order val="1"/>
          <c:tx>
            <c:strRef>
              <c:f>Hospital_Data!$D$1</c:f>
              <c:strCache>
                <c:ptCount val="1"/>
                <c:pt idx="0">
                  <c:v>Days Admitted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Hospital_Data!$D$2:$D$26</c:f>
              <c:numCache>
                <c:formatCode>General</c:formatCode>
                <c:ptCount val="2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8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7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1-4B1A-9F8B-3C9E2ECEA415}"/>
            </c:ext>
          </c:extLst>
        </c:ser>
        <c:ser>
          <c:idx val="2"/>
          <c:order val="2"/>
          <c:tx>
            <c:strRef>
              <c:f>Hospital_Data!$E$1</c:f>
              <c:strCache>
                <c:ptCount val="1"/>
                <c:pt idx="0">
                  <c:v>Medical Bill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Hospital_Data!$E$2:$E$26</c:f>
              <c:numCache>
                <c:formatCode>General</c:formatCode>
                <c:ptCount val="25"/>
                <c:pt idx="0">
                  <c:v>12000</c:v>
                </c:pt>
                <c:pt idx="1">
                  <c:v>25000</c:v>
                </c:pt>
                <c:pt idx="2">
                  <c:v>9000</c:v>
                </c:pt>
                <c:pt idx="3">
                  <c:v>18000</c:v>
                </c:pt>
                <c:pt idx="4">
                  <c:v>32000</c:v>
                </c:pt>
                <c:pt idx="5">
                  <c:v>15000</c:v>
                </c:pt>
                <c:pt idx="6">
                  <c:v>10000</c:v>
                </c:pt>
                <c:pt idx="7">
                  <c:v>40000</c:v>
                </c:pt>
                <c:pt idx="8">
                  <c:v>24000</c:v>
                </c:pt>
                <c:pt idx="9">
                  <c:v>17000</c:v>
                </c:pt>
                <c:pt idx="10">
                  <c:v>50000</c:v>
                </c:pt>
                <c:pt idx="11">
                  <c:v>13000</c:v>
                </c:pt>
                <c:pt idx="12">
                  <c:v>30000</c:v>
                </c:pt>
                <c:pt idx="13">
                  <c:v>19000</c:v>
                </c:pt>
                <c:pt idx="14">
                  <c:v>9000</c:v>
                </c:pt>
                <c:pt idx="15">
                  <c:v>41000</c:v>
                </c:pt>
                <c:pt idx="16">
                  <c:v>27000</c:v>
                </c:pt>
                <c:pt idx="17">
                  <c:v>14000</c:v>
                </c:pt>
                <c:pt idx="18">
                  <c:v>35000</c:v>
                </c:pt>
                <c:pt idx="19">
                  <c:v>21000</c:v>
                </c:pt>
                <c:pt idx="20">
                  <c:v>11000</c:v>
                </c:pt>
                <c:pt idx="21">
                  <c:v>26000</c:v>
                </c:pt>
                <c:pt idx="22">
                  <c:v>16000</c:v>
                </c:pt>
                <c:pt idx="23">
                  <c:v>43000</c:v>
                </c:pt>
                <c:pt idx="24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1-4B1A-9F8B-3C9E2ECEA415}"/>
            </c:ext>
          </c:extLst>
        </c:ser>
        <c:ser>
          <c:idx val="3"/>
          <c:order val="3"/>
          <c:tx>
            <c:strRef>
              <c:f>Hospital_Data!$F$1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Hospital_Data!$F$2:$F$26</c:f>
              <c:numCache>
                <c:formatCode>General</c:formatCode>
                <c:ptCount val="25"/>
                <c:pt idx="0">
                  <c:v>22980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1-4B1A-9F8B-3C9E2ECEA415}"/>
            </c:ext>
          </c:extLst>
        </c:ser>
        <c:ser>
          <c:idx val="4"/>
          <c:order val="4"/>
          <c:tx>
            <c:strRef>
              <c:f>Hospital_Data!$G$1</c:f>
              <c:strCache>
                <c:ptCount val="1"/>
                <c:pt idx="0">
                  <c:v>MEDIAN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Hospital_Data!$G$2:$G$26</c:f>
              <c:numCache>
                <c:formatCode>General</c:formatCode>
                <c:ptCount val="25"/>
                <c:pt idx="0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E1-4B1A-9F8B-3C9E2ECEA415}"/>
            </c:ext>
          </c:extLst>
        </c:ser>
        <c:ser>
          <c:idx val="5"/>
          <c:order val="5"/>
          <c:tx>
            <c:strRef>
              <c:f>Hospital_Data!$H$1</c:f>
              <c:strCache>
                <c:ptCount val="1"/>
                <c:pt idx="0">
                  <c:v>MODE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Hospital_Data!$H$2:$H$26</c:f>
              <c:numCache>
                <c:formatCode>General</c:formatCode>
                <c:ptCount val="25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E1-4B1A-9F8B-3C9E2ECEA415}"/>
            </c:ext>
          </c:extLst>
        </c:ser>
        <c:ser>
          <c:idx val="6"/>
          <c:order val="6"/>
          <c:tx>
            <c:strRef>
              <c:f>Hospital_Data!$I$1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Hospital_Data!$I$2:$I$26</c:f>
              <c:numCache>
                <c:formatCode>General</c:formatCode>
                <c:ptCount val="25"/>
                <c:pt idx="0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E1-4B1A-9F8B-3C9E2ECEA415}"/>
            </c:ext>
          </c:extLst>
        </c:ser>
        <c:ser>
          <c:idx val="7"/>
          <c:order val="7"/>
          <c:tx>
            <c:strRef>
              <c:f>Hospital_Data!$J$1</c:f>
              <c:strCache>
                <c:ptCount val="1"/>
                <c:pt idx="0">
                  <c:v>VARIANCE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Hospital_Data!$J$2:$J$26</c:f>
              <c:numCache>
                <c:formatCode>General</c:formatCode>
                <c:ptCount val="25"/>
                <c:pt idx="0">
                  <c:v>136551666.66666666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E1-4B1A-9F8B-3C9E2ECEA415}"/>
            </c:ext>
          </c:extLst>
        </c:ser>
        <c:ser>
          <c:idx val="8"/>
          <c:order val="8"/>
          <c:tx>
            <c:strRef>
              <c:f>Hospital_Data!$K$1</c:f>
              <c:strCache>
                <c:ptCount val="1"/>
                <c:pt idx="0">
                  <c:v>STD DEVIATION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Hospital_Data!$K$2:$K$26</c:f>
              <c:numCache>
                <c:formatCode>General</c:formatCode>
                <c:ptCount val="25"/>
                <c:pt idx="0">
                  <c:v>11685.532365564979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E1-4B1A-9F8B-3C9E2ECEA415}"/>
            </c:ext>
          </c:extLst>
        </c:ser>
        <c:ser>
          <c:idx val="9"/>
          <c:order val="9"/>
          <c:tx>
            <c:strRef>
              <c:f>Hospital_Data!$L$1</c:f>
              <c:strCache>
                <c:ptCount val="1"/>
                <c:pt idx="0">
                  <c:v>CORRELATION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Hospital_Data!$A$2:$B$26</c:f>
              <c:multiLvlStrCache>
                <c:ptCount val="25"/>
                <c:lvl>
                  <c:pt idx="0">
                    <c:v>Amit Shah</c:v>
                  </c:pt>
                  <c:pt idx="1">
                    <c:v>Neha Reddy</c:v>
                  </c:pt>
                  <c:pt idx="2">
                    <c:v>Rahul Das</c:v>
                  </c:pt>
                  <c:pt idx="3">
                    <c:v>Kavya Menon</c:v>
                  </c:pt>
                  <c:pt idx="4">
                    <c:v>Imran Ali</c:v>
                  </c:pt>
                  <c:pt idx="5">
                    <c:v>Sneha Patel</c:v>
                  </c:pt>
                  <c:pt idx="6">
                    <c:v>Rohit Kumar</c:v>
                  </c:pt>
                  <c:pt idx="7">
                    <c:v>Pooja Rao</c:v>
                  </c:pt>
                  <c:pt idx="8">
                    <c:v>Arjun Verma</c:v>
                  </c:pt>
                  <c:pt idx="9">
                    <c:v>Meera Jain</c:v>
                  </c:pt>
                  <c:pt idx="10">
                    <c:v>Suresh Das</c:v>
                  </c:pt>
                  <c:pt idx="11">
                    <c:v>Tanya Singh</c:v>
                  </c:pt>
                  <c:pt idx="12">
                    <c:v>Vikram Nair</c:v>
                  </c:pt>
                  <c:pt idx="13">
                    <c:v>Divya Sharma</c:v>
                  </c:pt>
                  <c:pt idx="14">
                    <c:v>Aman Gupta</c:v>
                  </c:pt>
                  <c:pt idx="15">
                    <c:v>Neelam Joshi</c:v>
                  </c:pt>
                  <c:pt idx="16">
                    <c:v>Harish Patel</c:v>
                  </c:pt>
                  <c:pt idx="17">
                    <c:v>Riya Kapoor</c:v>
                  </c:pt>
                  <c:pt idx="18">
                    <c:v>Manoj Kumar</c:v>
                  </c:pt>
                  <c:pt idx="19">
                    <c:v>Aarti Das</c:v>
                  </c:pt>
                  <c:pt idx="20">
                    <c:v>Vinay Rao</c:v>
                  </c:pt>
                  <c:pt idx="21">
                    <c:v>Kunal Sharma</c:v>
                  </c:pt>
                  <c:pt idx="22">
                    <c:v>Bhavana Menon</c:v>
                  </c:pt>
                  <c:pt idx="23">
                    <c:v>Deepak Jain</c:v>
                  </c:pt>
                  <c:pt idx="24">
                    <c:v>Sakshi Verma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  <c:pt idx="10">
                    <c:v>P011</c:v>
                  </c:pt>
                  <c:pt idx="11">
                    <c:v>P012</c:v>
                  </c:pt>
                  <c:pt idx="12">
                    <c:v>P013</c:v>
                  </c:pt>
                  <c:pt idx="13">
                    <c:v>P014</c:v>
                  </c:pt>
                  <c:pt idx="14">
                    <c:v>P015</c:v>
                  </c:pt>
                  <c:pt idx="15">
                    <c:v>P016</c:v>
                  </c:pt>
                  <c:pt idx="16">
                    <c:v>P017</c:v>
                  </c:pt>
                  <c:pt idx="17">
                    <c:v>P018</c:v>
                  </c:pt>
                  <c:pt idx="18">
                    <c:v>P019</c:v>
                  </c:pt>
                  <c:pt idx="19">
                    <c:v>P020</c:v>
                  </c:pt>
                  <c:pt idx="20">
                    <c:v>P021</c:v>
                  </c:pt>
                  <c:pt idx="21">
                    <c:v>P022</c:v>
                  </c:pt>
                  <c:pt idx="22">
                    <c:v>P023</c:v>
                  </c:pt>
                  <c:pt idx="23">
                    <c:v>P024</c:v>
                  </c:pt>
                  <c:pt idx="24">
                    <c:v>P025</c:v>
                  </c:pt>
                </c:lvl>
              </c:multiLvlStrCache>
            </c:multiLvlStrRef>
          </c:cat>
          <c:val>
            <c:numRef>
              <c:f>Hospital_Data!$L$2:$L$26</c:f>
              <c:numCache>
                <c:formatCode>General</c:formatCode>
                <c:ptCount val="25"/>
                <c:pt idx="0">
                  <c:v>0.98222817428127684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6E1-4B1A-9F8B-3C9E2ECE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_xlchart.v2.21</cx:f>
      </cx:strDim>
      <cx:numDim type="val">
        <cx:f>_xlchart.v2.23</cx:f>
      </cx:numDim>
    </cx:data>
    <cx:data id="1">
      <cx:strDim type="cat">
        <cx:f>_xlchart.v2.21</cx:f>
      </cx:strDim>
      <cx:numDim type="val">
        <cx:f>_xlchart.v2.25</cx:f>
      </cx:numDim>
    </cx:data>
    <cx:data id="2">
      <cx:strDim type="cat">
        <cx:f>_xlchart.v2.21</cx:f>
      </cx:strDim>
      <cx:numDim type="val">
        <cx:f>_xlchart.v2.27</cx:f>
      </cx:numDim>
    </cx:data>
    <cx:data id="3">
      <cx:strDim type="cat">
        <cx:f>_xlchart.v2.21</cx:f>
      </cx:strDim>
      <cx:numDim type="val">
        <cx:f>_xlchart.v2.29</cx:f>
      </cx:numDim>
    </cx:data>
    <cx:data id="4">
      <cx:strDim type="cat">
        <cx:f>_xlchart.v2.21</cx:f>
      </cx:strDim>
      <cx:numDim type="val">
        <cx:f>_xlchart.v2.31</cx:f>
      </cx:numDim>
    </cx:data>
    <cx:data id="5">
      <cx:strDim type="cat">
        <cx:f>_xlchart.v2.21</cx:f>
      </cx:strDim>
      <cx:numDim type="val">
        <cx:f>_xlchart.v2.33</cx:f>
      </cx:numDim>
    </cx:data>
    <cx:data id="6">
      <cx:strDim type="cat">
        <cx:f>_xlchart.v2.21</cx:f>
      </cx:strDim>
      <cx:numDim type="val">
        <cx:f>_xlchart.v2.35</cx:f>
      </cx:numDim>
    </cx:data>
    <cx:data id="7">
      <cx:strDim type="cat">
        <cx:f>_xlchart.v2.21</cx:f>
      </cx:strDim>
      <cx:numDim type="val">
        <cx:f>_xlchart.v2.37</cx:f>
      </cx:numDim>
    </cx:data>
    <cx:data id="8">
      <cx:strDim type="cat">
        <cx:f>_xlchart.v2.21</cx:f>
      </cx:strDim>
      <cx:numDim type="val">
        <cx:f>_xlchart.v2.39</cx:f>
      </cx:numDim>
    </cx:data>
    <cx:data id="9">
      <cx:strDim type="cat">
        <cx:f>_xlchart.v2.21</cx:f>
      </cx:strDim>
      <cx:numDim type="val">
        <cx:f>_xlchart.v2.41</cx:f>
      </cx:numDim>
    </cx:data>
  </cx:chartData>
  <cx:chart>
    <cx:title pos="t" align="ctr" overlay="0"/>
    <cx:plotArea>
      <cx:plotAreaRegion>
        <cx:series layoutId="funnel" uniqueId="{8BE085D2-ACA6-481A-8D72-E3FD6B9343F7}" formatIdx="0">
          <cx:tx>
            <cx:txData>
              <cx:f>_xlchart.v2.22</cx:f>
              <cx:v>Age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A9258ADB-BDD5-4D77-8BDE-6EE5BF95517F}" formatIdx="1">
          <cx:tx>
            <cx:txData>
              <cx:f>_xlchart.v2.24</cx:f>
              <cx:v>Days Admitted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01E58784-B0C9-46D5-A8C3-57EE1BDA2537}" formatIdx="2">
          <cx:tx>
            <cx:txData>
              <cx:f>_xlchart.v2.26</cx:f>
              <cx:v>Medical Bill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A7B43EB5-F4E2-4F33-9FDE-587A2A174B7B}" formatIdx="3">
          <cx:tx>
            <cx:txData>
              <cx:f>_xlchart.v2.28</cx:f>
              <cx:v>MEAN</cx:v>
            </cx:txData>
          </cx:tx>
          <cx:dataLabels>
            <cx:visibility seriesName="0" categoryName="0" value="1"/>
          </cx:dataLabels>
          <cx:dataId val="3"/>
        </cx:series>
        <cx:series layoutId="funnel" hidden="1" uniqueId="{417AAD23-7445-4B02-9F61-F420B47597F1}" formatIdx="4">
          <cx:tx>
            <cx:txData>
              <cx:f>_xlchart.v2.30</cx:f>
              <cx:v>MEDIAN</cx:v>
            </cx:txData>
          </cx:tx>
          <cx:dataLabels>
            <cx:visibility seriesName="0" categoryName="0" value="1"/>
          </cx:dataLabels>
          <cx:dataId val="4"/>
        </cx:series>
        <cx:series layoutId="funnel" hidden="1" uniqueId="{2F6ADF1E-55E7-45DE-8935-DA9F6DA5BC19}" formatIdx="5">
          <cx:tx>
            <cx:txData>
              <cx:f>_xlchart.v2.32</cx:f>
              <cx:v>MODE</cx:v>
            </cx:txData>
          </cx:tx>
          <cx:dataLabels>
            <cx:visibility seriesName="0" categoryName="0" value="1"/>
          </cx:dataLabels>
          <cx:dataId val="5"/>
        </cx:series>
        <cx:series layoutId="funnel" hidden="1" uniqueId="{7D35FB42-FA37-4134-8DF9-E386EAA616D9}" formatIdx="6">
          <cx:tx>
            <cx:txData>
              <cx:f>_xlchart.v2.34</cx:f>
              <cx:v>RANGE</cx:v>
            </cx:txData>
          </cx:tx>
          <cx:dataLabels>
            <cx:visibility seriesName="0" categoryName="0" value="1"/>
          </cx:dataLabels>
          <cx:dataId val="6"/>
        </cx:series>
        <cx:series layoutId="funnel" hidden="1" uniqueId="{0D1E21E6-62B5-41AF-A3EC-3F35EE9DD76A}" formatIdx="7">
          <cx:tx>
            <cx:txData>
              <cx:f>_xlchart.v2.36</cx:f>
              <cx:v>VARIANCE</cx:v>
            </cx:txData>
          </cx:tx>
          <cx:dataLabels>
            <cx:visibility seriesName="0" categoryName="0" value="1"/>
          </cx:dataLabels>
          <cx:dataId val="7"/>
        </cx:series>
        <cx:series layoutId="funnel" hidden="1" uniqueId="{F2CC5ADC-D7EF-4C71-B34D-7B2FD0D080EA}" formatIdx="8">
          <cx:tx>
            <cx:txData>
              <cx:f>_xlchart.v2.38</cx:f>
              <cx:v>STD DEVIATION</cx:v>
            </cx:txData>
          </cx:tx>
          <cx:dataLabels>
            <cx:visibility seriesName="0" categoryName="0" value="1"/>
          </cx:dataLabels>
          <cx:dataId val="8"/>
        </cx:series>
        <cx:series layoutId="funnel" hidden="1" uniqueId="{D74F1E33-821B-47AC-A151-FD6C859ACE11}" formatIdx="9">
          <cx:tx>
            <cx:txData>
              <cx:f>_xlchart.v2.40</cx:f>
              <cx:v>CORRELATION</cx:v>
            </cx:txData>
          </cx:tx>
          <cx:dataLabels>
            <cx:visibility seriesName="0" categoryName="0" value="1"/>
          </cx:dataLabels>
          <cx:dataId val="9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2</xdr:row>
      <xdr:rowOff>87630</xdr:rowOff>
    </xdr:from>
    <xdr:to>
      <xdr:col>8</xdr:col>
      <xdr:colOff>975360</xdr:colOff>
      <xdr:row>17</xdr:row>
      <xdr:rowOff>87630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79EF834-31A9-E9C3-61F6-CAF200BF1C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1660" y="453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685800</xdr:colOff>
      <xdr:row>18</xdr:row>
      <xdr:rowOff>57150</xdr:rowOff>
    </xdr:from>
    <xdr:to>
      <xdr:col>8</xdr:col>
      <xdr:colOff>1211580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3AF7F-656C-EC8C-0067-13880D33E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1437-B28B-4324-B426-87BFF5F40886}">
  <dimension ref="A1:B15"/>
  <sheetViews>
    <sheetView workbookViewId="0">
      <selection sqref="A1:B15"/>
    </sheetView>
  </sheetViews>
  <sheetFormatPr defaultRowHeight="14.4" x14ac:dyDescent="0.3"/>
  <cols>
    <col min="1" max="1" width="18.109375" customWidth="1"/>
    <col min="2" max="2" width="16.5546875" customWidth="1"/>
  </cols>
  <sheetData>
    <row r="1" spans="1:2" x14ac:dyDescent="0.3">
      <c r="A1" s="5">
        <v>25000</v>
      </c>
      <c r="B1" s="5"/>
    </row>
    <row r="2" spans="1:2" x14ac:dyDescent="0.3">
      <c r="A2" s="2"/>
      <c r="B2" s="2"/>
    </row>
    <row r="3" spans="1:2" x14ac:dyDescent="0.3">
      <c r="A3" s="2" t="s">
        <v>62</v>
      </c>
      <c r="B3" s="2">
        <v>23369.565217391304</v>
      </c>
    </row>
    <row r="4" spans="1:2" x14ac:dyDescent="0.3">
      <c r="A4" s="2" t="s">
        <v>63</v>
      </c>
      <c r="B4" s="2">
        <v>2494.7013792525577</v>
      </c>
    </row>
    <row r="5" spans="1:2" x14ac:dyDescent="0.3">
      <c r="A5" s="2" t="s">
        <v>64</v>
      </c>
      <c r="B5" s="2">
        <v>19000</v>
      </c>
    </row>
    <row r="6" spans="1:2" x14ac:dyDescent="0.3">
      <c r="A6" s="2" t="s">
        <v>65</v>
      </c>
      <c r="B6" s="2">
        <v>9000</v>
      </c>
    </row>
    <row r="7" spans="1:2" x14ac:dyDescent="0.3">
      <c r="A7" s="2" t="s">
        <v>66</v>
      </c>
      <c r="B7" s="2">
        <v>11964.167515871135</v>
      </c>
    </row>
    <row r="8" spans="1:2" x14ac:dyDescent="0.3">
      <c r="A8" s="2" t="s">
        <v>67</v>
      </c>
      <c r="B8" s="2">
        <v>143141304.34782609</v>
      </c>
    </row>
    <row r="9" spans="1:2" x14ac:dyDescent="0.3">
      <c r="A9" s="2" t="s">
        <v>68</v>
      </c>
      <c r="B9" s="2">
        <v>-0.47628563338475516</v>
      </c>
    </row>
    <row r="10" spans="1:2" x14ac:dyDescent="0.3">
      <c r="A10" s="2" t="s">
        <v>69</v>
      </c>
      <c r="B10" s="2">
        <v>0.7340371416505711</v>
      </c>
    </row>
    <row r="11" spans="1:2" x14ac:dyDescent="0.3">
      <c r="A11" s="2" t="s">
        <v>70</v>
      </c>
      <c r="B11" s="2">
        <v>41000</v>
      </c>
    </row>
    <row r="12" spans="1:2" x14ac:dyDescent="0.3">
      <c r="A12" s="2" t="s">
        <v>71</v>
      </c>
      <c r="B12" s="2">
        <v>9000</v>
      </c>
    </row>
    <row r="13" spans="1:2" x14ac:dyDescent="0.3">
      <c r="A13" s="2" t="s">
        <v>72</v>
      </c>
      <c r="B13" s="2">
        <v>50000</v>
      </c>
    </row>
    <row r="14" spans="1:2" x14ac:dyDescent="0.3">
      <c r="A14" s="2" t="s">
        <v>73</v>
      </c>
      <c r="B14" s="2">
        <v>537500</v>
      </c>
    </row>
    <row r="15" spans="1:2" ht="15" thickBot="1" x14ac:dyDescent="0.35">
      <c r="A15" s="3" t="s">
        <v>74</v>
      </c>
      <c r="B15" s="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86BF-B329-4CA5-B4E3-413FB12DC92E}">
  <dimension ref="A1:I18"/>
  <sheetViews>
    <sheetView tabSelected="1" workbookViewId="0">
      <selection sqref="A1:I21"/>
    </sheetView>
  </sheetViews>
  <sheetFormatPr defaultRowHeight="14.4" x14ac:dyDescent="0.3"/>
  <sheetData>
    <row r="1" spans="1:9" x14ac:dyDescent="0.3">
      <c r="A1" t="s">
        <v>75</v>
      </c>
    </row>
    <row r="2" spans="1:9" ht="15" thickBot="1" x14ac:dyDescent="0.35"/>
    <row r="3" spans="1:9" x14ac:dyDescent="0.3">
      <c r="A3" s="5" t="s">
        <v>76</v>
      </c>
      <c r="B3" s="5"/>
    </row>
    <row r="4" spans="1:9" x14ac:dyDescent="0.3">
      <c r="A4" s="2" t="s">
        <v>77</v>
      </c>
      <c r="B4" s="2">
        <v>0.98217103441581577</v>
      </c>
    </row>
    <row r="5" spans="1:9" x14ac:dyDescent="0.3">
      <c r="A5" s="2" t="s">
        <v>78</v>
      </c>
      <c r="B5" s="2">
        <v>0.96465994084543349</v>
      </c>
    </row>
    <row r="6" spans="1:9" x14ac:dyDescent="0.3">
      <c r="A6" s="2" t="s">
        <v>79</v>
      </c>
      <c r="B6" s="2">
        <v>0.96305357452022589</v>
      </c>
    </row>
    <row r="7" spans="1:9" x14ac:dyDescent="0.3">
      <c r="A7" s="2" t="s">
        <v>63</v>
      </c>
      <c r="B7" s="2">
        <v>2250.0476591907914</v>
      </c>
    </row>
    <row r="8" spans="1:9" ht="15" thickBot="1" x14ac:dyDescent="0.35">
      <c r="A8" s="3" t="s">
        <v>80</v>
      </c>
      <c r="B8" s="3">
        <v>24</v>
      </c>
    </row>
    <row r="10" spans="1:9" ht="15" thickBot="1" x14ac:dyDescent="0.35">
      <c r="A10" t="s">
        <v>81</v>
      </c>
    </row>
    <row r="11" spans="1:9" x14ac:dyDescent="0.3">
      <c r="A11" s="4"/>
      <c r="B11" s="4" t="s">
        <v>86</v>
      </c>
      <c r="C11" s="4" t="s">
        <v>87</v>
      </c>
      <c r="D11" s="4" t="s">
        <v>88</v>
      </c>
      <c r="E11" s="4" t="s">
        <v>89</v>
      </c>
      <c r="F11" s="4" t="s">
        <v>90</v>
      </c>
    </row>
    <row r="12" spans="1:9" x14ac:dyDescent="0.3">
      <c r="A12" s="2" t="s">
        <v>82</v>
      </c>
      <c r="B12" s="2">
        <v>1</v>
      </c>
      <c r="C12" s="2">
        <v>3040276531.6901407</v>
      </c>
      <c r="D12" s="2">
        <v>3040276531.6901407</v>
      </c>
      <c r="E12" s="2">
        <v>600.52301004304536</v>
      </c>
      <c r="F12" s="2">
        <v>1.8360625706521936E-17</v>
      </c>
    </row>
    <row r="13" spans="1:9" x14ac:dyDescent="0.3">
      <c r="A13" s="2" t="s">
        <v>83</v>
      </c>
      <c r="B13" s="2">
        <v>22</v>
      </c>
      <c r="C13" s="2">
        <v>111379718.30985913</v>
      </c>
      <c r="D13" s="2">
        <v>5062714.46862996</v>
      </c>
      <c r="E13" s="2"/>
      <c r="F13" s="2"/>
    </row>
    <row r="14" spans="1:9" ht="15" thickBot="1" x14ac:dyDescent="0.35">
      <c r="A14" s="3" t="s">
        <v>84</v>
      </c>
      <c r="B14" s="3">
        <v>23</v>
      </c>
      <c r="C14" s="3">
        <v>3151656250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91</v>
      </c>
      <c r="C16" s="4" t="s">
        <v>63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4" t="s">
        <v>97</v>
      </c>
    </row>
    <row r="17" spans="1:9" x14ac:dyDescent="0.3">
      <c r="A17" s="2" t="s">
        <v>85</v>
      </c>
      <c r="B17" s="2">
        <v>-5147.3239436619624</v>
      </c>
      <c r="C17" s="2">
        <v>1253.6270021034475</v>
      </c>
      <c r="D17" s="2">
        <v>-4.10594533703033</v>
      </c>
      <c r="E17" s="2">
        <v>4.657839576778204E-4</v>
      </c>
      <c r="F17" s="2">
        <v>-7747.1872205215659</v>
      </c>
      <c r="G17" s="2">
        <v>-2547.4606668023594</v>
      </c>
      <c r="H17" s="2">
        <v>-7747.1872205215659</v>
      </c>
      <c r="I17" s="2">
        <v>-2547.4606668023594</v>
      </c>
    </row>
    <row r="18" spans="1:9" ht="15" thickBot="1" x14ac:dyDescent="0.35">
      <c r="A18" s="3">
        <v>3</v>
      </c>
      <c r="B18" s="3">
        <v>6411.5492957746465</v>
      </c>
      <c r="C18" s="3">
        <v>261.63639670902808</v>
      </c>
      <c r="D18" s="3">
        <v>24.505571000142918</v>
      </c>
      <c r="E18" s="3">
        <v>1.8360625706521807E-17</v>
      </c>
      <c r="F18" s="3">
        <v>5868.9486190563393</v>
      </c>
      <c r="G18" s="3">
        <v>6954.1499724929536</v>
      </c>
      <c r="H18" s="3">
        <v>5868.9486190563393</v>
      </c>
      <c r="I18" s="3">
        <v>6954.1499724929536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I28" sqref="I28"/>
    </sheetView>
  </sheetViews>
  <sheetFormatPr defaultRowHeight="14.4" x14ac:dyDescent="0.3"/>
  <cols>
    <col min="1" max="1" width="15" customWidth="1"/>
    <col min="2" max="2" width="18" customWidth="1"/>
    <col min="3" max="3" width="8" customWidth="1"/>
    <col min="4" max="4" width="18" customWidth="1"/>
    <col min="5" max="5" width="17" customWidth="1"/>
    <col min="6" max="6" width="21" customWidth="1"/>
    <col min="7" max="7" width="20" customWidth="1"/>
    <col min="8" max="8" width="18" customWidth="1"/>
    <col min="9" max="9" width="29" customWidth="1"/>
    <col min="10" max="10" width="19" customWidth="1"/>
    <col min="11" max="11" width="21" customWidth="1"/>
    <col min="12" max="12" width="2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25</v>
      </c>
      <c r="D2">
        <v>3</v>
      </c>
      <c r="E2">
        <v>12000</v>
      </c>
      <c r="F2">
        <f>AVERAGE(E2:E26)</f>
        <v>22980</v>
      </c>
      <c r="G2">
        <f>MEDIAN(E2:E26)</f>
        <v>19000</v>
      </c>
      <c r="H2">
        <f>_xlfn.MODE.SNGL(E2:E26)</f>
        <v>9000</v>
      </c>
      <c r="I2">
        <f>MAX(E2:E26)-MIN(E2:E26)</f>
        <v>41000</v>
      </c>
      <c r="J2">
        <f>_xlfn.VAR.S(E2:E26)</f>
        <v>136551666.66666666</v>
      </c>
      <c r="K2">
        <f>_xlfn.STDEV.S(E2:E26)</f>
        <v>11685.532365564979</v>
      </c>
      <c r="L2">
        <f>CORREL(D2:D26,E2:E26)</f>
        <v>0.98222817428127684</v>
      </c>
    </row>
    <row r="3" spans="1:12" x14ac:dyDescent="0.3">
      <c r="A3" t="s">
        <v>14</v>
      </c>
      <c r="B3" t="s">
        <v>15</v>
      </c>
      <c r="C3">
        <v>40</v>
      </c>
      <c r="D3">
        <v>5</v>
      </c>
      <c r="E3">
        <v>25000</v>
      </c>
    </row>
    <row r="4" spans="1:12" x14ac:dyDescent="0.3">
      <c r="A4" t="s">
        <v>16</v>
      </c>
      <c r="B4" t="s">
        <v>17</v>
      </c>
      <c r="C4">
        <v>32</v>
      </c>
      <c r="D4">
        <v>2</v>
      </c>
      <c r="E4">
        <v>9000</v>
      </c>
    </row>
    <row r="5" spans="1:12" x14ac:dyDescent="0.3">
      <c r="A5" t="s">
        <v>18</v>
      </c>
      <c r="B5" t="s">
        <v>19</v>
      </c>
      <c r="C5">
        <v>28</v>
      </c>
      <c r="D5">
        <v>4</v>
      </c>
      <c r="E5">
        <v>18000</v>
      </c>
    </row>
    <row r="6" spans="1:12" x14ac:dyDescent="0.3">
      <c r="A6" t="s">
        <v>20</v>
      </c>
      <c r="B6" t="s">
        <v>21</v>
      </c>
      <c r="C6">
        <v>50</v>
      </c>
      <c r="D6">
        <v>6</v>
      </c>
      <c r="E6">
        <v>32000</v>
      </c>
    </row>
    <row r="7" spans="1:12" x14ac:dyDescent="0.3">
      <c r="A7" t="s">
        <v>22</v>
      </c>
      <c r="B7" t="s">
        <v>23</v>
      </c>
      <c r="C7">
        <v>35</v>
      </c>
      <c r="D7">
        <v>3</v>
      </c>
      <c r="E7">
        <v>15000</v>
      </c>
    </row>
    <row r="8" spans="1:12" x14ac:dyDescent="0.3">
      <c r="A8" t="s">
        <v>24</v>
      </c>
      <c r="B8" t="s">
        <v>25</v>
      </c>
      <c r="C8">
        <v>29</v>
      </c>
      <c r="D8">
        <v>2</v>
      </c>
      <c r="E8">
        <v>10000</v>
      </c>
    </row>
    <row r="9" spans="1:12" x14ac:dyDescent="0.3">
      <c r="A9" t="s">
        <v>26</v>
      </c>
      <c r="B9" t="s">
        <v>27</v>
      </c>
      <c r="C9">
        <v>45</v>
      </c>
      <c r="D9">
        <v>7</v>
      </c>
      <c r="E9">
        <v>40000</v>
      </c>
    </row>
    <row r="10" spans="1:12" x14ac:dyDescent="0.3">
      <c r="A10" t="s">
        <v>28</v>
      </c>
      <c r="B10" t="s">
        <v>29</v>
      </c>
      <c r="C10">
        <v>38</v>
      </c>
      <c r="D10">
        <v>5</v>
      </c>
      <c r="E10">
        <v>24000</v>
      </c>
    </row>
    <row r="11" spans="1:12" x14ac:dyDescent="0.3">
      <c r="A11" t="s">
        <v>30</v>
      </c>
      <c r="B11" t="s">
        <v>31</v>
      </c>
      <c r="C11">
        <v>31</v>
      </c>
      <c r="D11">
        <v>4</v>
      </c>
      <c r="E11">
        <v>17000</v>
      </c>
    </row>
    <row r="12" spans="1:12" x14ac:dyDescent="0.3">
      <c r="A12" t="s">
        <v>32</v>
      </c>
      <c r="B12" t="s">
        <v>33</v>
      </c>
      <c r="C12">
        <v>60</v>
      </c>
      <c r="D12">
        <v>8</v>
      </c>
      <c r="E12">
        <v>50000</v>
      </c>
    </row>
    <row r="13" spans="1:12" x14ac:dyDescent="0.3">
      <c r="A13" t="s">
        <v>34</v>
      </c>
      <c r="B13" t="s">
        <v>35</v>
      </c>
      <c r="C13">
        <v>27</v>
      </c>
      <c r="D13">
        <v>3</v>
      </c>
      <c r="E13">
        <v>13000</v>
      </c>
    </row>
    <row r="14" spans="1:12" x14ac:dyDescent="0.3">
      <c r="A14" t="s">
        <v>36</v>
      </c>
      <c r="B14" t="s">
        <v>37</v>
      </c>
      <c r="C14">
        <v>42</v>
      </c>
      <c r="D14">
        <v>6</v>
      </c>
      <c r="E14">
        <v>30000</v>
      </c>
    </row>
    <row r="15" spans="1:12" x14ac:dyDescent="0.3">
      <c r="A15" t="s">
        <v>38</v>
      </c>
      <c r="B15" t="s">
        <v>39</v>
      </c>
      <c r="C15">
        <v>36</v>
      </c>
      <c r="D15">
        <v>4</v>
      </c>
      <c r="E15">
        <v>19000</v>
      </c>
    </row>
    <row r="16" spans="1:12" x14ac:dyDescent="0.3">
      <c r="A16" t="s">
        <v>40</v>
      </c>
      <c r="B16" t="s">
        <v>41</v>
      </c>
      <c r="C16">
        <v>33</v>
      </c>
      <c r="D16">
        <v>2</v>
      </c>
      <c r="E16">
        <v>9000</v>
      </c>
    </row>
    <row r="17" spans="1:5" x14ac:dyDescent="0.3">
      <c r="A17" t="s">
        <v>42</v>
      </c>
      <c r="B17" t="s">
        <v>43</v>
      </c>
      <c r="C17">
        <v>48</v>
      </c>
      <c r="D17">
        <v>7</v>
      </c>
      <c r="E17">
        <v>41000</v>
      </c>
    </row>
    <row r="18" spans="1:5" x14ac:dyDescent="0.3">
      <c r="A18" t="s">
        <v>44</v>
      </c>
      <c r="B18" t="s">
        <v>45</v>
      </c>
      <c r="C18">
        <v>52</v>
      </c>
      <c r="D18">
        <v>5</v>
      </c>
      <c r="E18">
        <v>27000</v>
      </c>
    </row>
    <row r="19" spans="1:5" x14ac:dyDescent="0.3">
      <c r="A19" t="s">
        <v>46</v>
      </c>
      <c r="B19" t="s">
        <v>47</v>
      </c>
      <c r="C19">
        <v>30</v>
      </c>
      <c r="D19">
        <v>3</v>
      </c>
      <c r="E19">
        <v>14000</v>
      </c>
    </row>
    <row r="20" spans="1:5" x14ac:dyDescent="0.3">
      <c r="A20" t="s">
        <v>48</v>
      </c>
      <c r="B20" t="s">
        <v>49</v>
      </c>
      <c r="C20">
        <v>55</v>
      </c>
      <c r="D20">
        <v>6</v>
      </c>
      <c r="E20">
        <v>35000</v>
      </c>
    </row>
    <row r="21" spans="1:5" x14ac:dyDescent="0.3">
      <c r="A21" t="s">
        <v>50</v>
      </c>
      <c r="B21" t="s">
        <v>51</v>
      </c>
      <c r="C21">
        <v>41</v>
      </c>
      <c r="D21">
        <v>4</v>
      </c>
      <c r="E21">
        <v>21000</v>
      </c>
    </row>
    <row r="22" spans="1:5" x14ac:dyDescent="0.3">
      <c r="A22" t="s">
        <v>52</v>
      </c>
      <c r="B22" t="s">
        <v>53</v>
      </c>
      <c r="C22">
        <v>37</v>
      </c>
      <c r="D22">
        <v>2</v>
      </c>
      <c r="E22">
        <v>11000</v>
      </c>
    </row>
    <row r="23" spans="1:5" x14ac:dyDescent="0.3">
      <c r="A23" t="s">
        <v>54</v>
      </c>
      <c r="B23" t="s">
        <v>55</v>
      </c>
      <c r="C23">
        <v>46</v>
      </c>
      <c r="D23">
        <v>5</v>
      </c>
      <c r="E23">
        <v>26000</v>
      </c>
    </row>
    <row r="24" spans="1:5" x14ac:dyDescent="0.3">
      <c r="A24" t="s">
        <v>56</v>
      </c>
      <c r="B24" t="s">
        <v>57</v>
      </c>
      <c r="C24">
        <v>34</v>
      </c>
      <c r="D24">
        <v>3</v>
      </c>
      <c r="E24">
        <v>16000</v>
      </c>
    </row>
    <row r="25" spans="1:5" x14ac:dyDescent="0.3">
      <c r="A25" t="s">
        <v>58</v>
      </c>
      <c r="B25" t="s">
        <v>59</v>
      </c>
      <c r="C25">
        <v>58</v>
      </c>
      <c r="D25">
        <v>7</v>
      </c>
      <c r="E25">
        <v>43000</v>
      </c>
    </row>
    <row r="26" spans="1:5" x14ac:dyDescent="0.3">
      <c r="A26" t="s">
        <v>60</v>
      </c>
      <c r="B26" t="s">
        <v>61</v>
      </c>
      <c r="C26">
        <v>29</v>
      </c>
      <c r="D26">
        <v>4</v>
      </c>
      <c r="E26">
        <v>17500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pranav chaitanya</cp:lastModifiedBy>
  <dcterms:created xsi:type="dcterms:W3CDTF">2026-05-26T15:35:58Z</dcterms:created>
  <dcterms:modified xsi:type="dcterms:W3CDTF">2026-05-26T15:48:36Z</dcterms:modified>
</cp:coreProperties>
</file>