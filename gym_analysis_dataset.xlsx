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pr\Downloads\"/>
    </mc:Choice>
  </mc:AlternateContent>
  <xr:revisionPtr revIDLastSave="0" documentId="13_ncr:1_{B54EC28F-9E89-4057-9DE1-7D75C68A9B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Gym_Fitness_Data" sheetId="1" r:id="rId3"/>
  </sheets>
  <calcPr calcId="191029"/>
</workbook>
</file>

<file path=xl/calcChain.xml><?xml version="1.0" encoding="utf-8"?>
<calcChain xmlns="http://schemas.openxmlformats.org/spreadsheetml/2006/main">
  <c r="K2" i="1" l="1"/>
  <c r="J2" i="1"/>
  <c r="L2" i="1"/>
  <c r="I2" i="1"/>
  <c r="H2" i="1"/>
  <c r="G2" i="1"/>
  <c r="F2" i="1"/>
</calcChain>
</file>

<file path=xl/sharedStrings.xml><?xml version="1.0" encoding="utf-8"?>
<sst xmlns="http://schemas.openxmlformats.org/spreadsheetml/2006/main" count="100" uniqueCount="98">
  <si>
    <t>Member ID</t>
  </si>
  <si>
    <t>Member Name</t>
  </si>
  <si>
    <t>Workout Hours</t>
  </si>
  <si>
    <t>Calories Burned</t>
  </si>
  <si>
    <t>Weight Loss</t>
  </si>
  <si>
    <t>MEAN</t>
  </si>
  <si>
    <t>MEDIAN</t>
  </si>
  <si>
    <t>MODE</t>
  </si>
  <si>
    <t>RANGE</t>
  </si>
  <si>
    <t>VARIANCE</t>
  </si>
  <si>
    <t>STD DEVIATION</t>
  </si>
  <si>
    <t>CORRELATION</t>
  </si>
  <si>
    <t>G001</t>
  </si>
  <si>
    <t>Rohit Sharma</t>
  </si>
  <si>
    <t>G002</t>
  </si>
  <si>
    <t>Pooja Verma</t>
  </si>
  <si>
    <t>G003</t>
  </si>
  <si>
    <t>Aman Jain</t>
  </si>
  <si>
    <t>G004</t>
  </si>
  <si>
    <t>Sneha Kapoor</t>
  </si>
  <si>
    <t>G005</t>
  </si>
  <si>
    <t>Vikram Das</t>
  </si>
  <si>
    <t>G006</t>
  </si>
  <si>
    <t>Riya Menon</t>
  </si>
  <si>
    <t>G007</t>
  </si>
  <si>
    <t>Harish Patel</t>
  </si>
  <si>
    <t>G008</t>
  </si>
  <si>
    <t>Neha Rao</t>
  </si>
  <si>
    <t>G009</t>
  </si>
  <si>
    <t>Kunal Singh</t>
  </si>
  <si>
    <t>G010</t>
  </si>
  <si>
    <t>Tanya Gupta</t>
  </si>
  <si>
    <t>G011</t>
  </si>
  <si>
    <t>Arjun Verma</t>
  </si>
  <si>
    <t>G012</t>
  </si>
  <si>
    <t>Meera Joshi</t>
  </si>
  <si>
    <t>G013</t>
  </si>
  <si>
    <t>Deepak Kumar</t>
  </si>
  <si>
    <t>G014</t>
  </si>
  <si>
    <t>Sakshi Jain</t>
  </si>
  <si>
    <t>G015</t>
  </si>
  <si>
    <t>Vinay Sharma</t>
  </si>
  <si>
    <t>G016</t>
  </si>
  <si>
    <t>Bhavana Das</t>
  </si>
  <si>
    <t>G017</t>
  </si>
  <si>
    <t>Rahul Nair</t>
  </si>
  <si>
    <t>G018</t>
  </si>
  <si>
    <t>Aarti Singh</t>
  </si>
  <si>
    <t>G019</t>
  </si>
  <si>
    <t>Suresh Rao</t>
  </si>
  <si>
    <t>G020</t>
  </si>
  <si>
    <t>Divya Kapoor</t>
  </si>
  <si>
    <t>G021</t>
  </si>
  <si>
    <t>Imran Ali</t>
  </si>
  <si>
    <t>G022</t>
  </si>
  <si>
    <t>Kavya Menon</t>
  </si>
  <si>
    <t>G023</t>
  </si>
  <si>
    <t>Manoj Verma</t>
  </si>
  <si>
    <t>G024</t>
  </si>
  <si>
    <t>Priti Sharma</t>
  </si>
  <si>
    <t>G025</t>
  </si>
  <si>
    <t>Ajay Patel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</si>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</sst>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Gym_Fitness_Data!$C$1</c:f>
              <c:strCache>
                <c:ptCount val="1"/>
                <c:pt idx="0">
                  <c:v>Workout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Gym_Fitness_Data!$C$2:$C$26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7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7</c:v>
                </c:pt>
                <c:pt idx="17">
                  <c:v>2</c:v>
                </c:pt>
                <c:pt idx="18">
                  <c:v>5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7</c:v>
                </c:pt>
                <c:pt idx="23">
                  <c:v>2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D-4EBA-AFC5-0342E14A160A}"/>
            </c:ext>
          </c:extLst>
        </c:ser>
        <c:ser>
          <c:idx val="1"/>
          <c:order val="1"/>
          <c:tx>
            <c:strRef>
              <c:f>Gym_Fitness_Data!$D$1</c:f>
              <c:strCache>
                <c:ptCount val="1"/>
                <c:pt idx="0">
                  <c:v>Calories Burned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Gym_Fitness_Data!$D$2:$D$26</c:f>
              <c:numCache>
                <c:formatCode>General</c:formatCode>
                <c:ptCount val="25"/>
                <c:pt idx="0">
                  <c:v>300</c:v>
                </c:pt>
                <c:pt idx="1">
                  <c:v>600</c:v>
                </c:pt>
                <c:pt idx="2">
                  <c:v>750</c:v>
                </c:pt>
                <c:pt idx="3">
                  <c:v>450</c:v>
                </c:pt>
                <c:pt idx="4">
                  <c:v>900</c:v>
                </c:pt>
                <c:pt idx="5">
                  <c:v>320</c:v>
                </c:pt>
                <c:pt idx="6">
                  <c:v>780</c:v>
                </c:pt>
                <c:pt idx="7">
                  <c:v>620</c:v>
                </c:pt>
                <c:pt idx="8">
                  <c:v>950</c:v>
                </c:pt>
                <c:pt idx="9">
                  <c:v>480</c:v>
                </c:pt>
                <c:pt idx="10">
                  <c:v>1100</c:v>
                </c:pt>
                <c:pt idx="11">
                  <c:v>310</c:v>
                </c:pt>
                <c:pt idx="12">
                  <c:v>820</c:v>
                </c:pt>
                <c:pt idx="13">
                  <c:v>650</c:v>
                </c:pt>
                <c:pt idx="14">
                  <c:v>980</c:v>
                </c:pt>
                <c:pt idx="15">
                  <c:v>500</c:v>
                </c:pt>
                <c:pt idx="16">
                  <c:v>1150</c:v>
                </c:pt>
                <c:pt idx="17">
                  <c:v>340</c:v>
                </c:pt>
                <c:pt idx="18">
                  <c:v>790</c:v>
                </c:pt>
                <c:pt idx="19">
                  <c:v>670</c:v>
                </c:pt>
                <c:pt idx="20">
                  <c:v>930</c:v>
                </c:pt>
                <c:pt idx="21">
                  <c:v>470</c:v>
                </c:pt>
                <c:pt idx="22">
                  <c:v>1200</c:v>
                </c:pt>
                <c:pt idx="23">
                  <c:v>330</c:v>
                </c:pt>
                <c:pt idx="24">
                  <c:v>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4D-4EBA-AFC5-0342E14A160A}"/>
            </c:ext>
          </c:extLst>
        </c:ser>
        <c:ser>
          <c:idx val="2"/>
          <c:order val="2"/>
          <c:tx>
            <c:strRef>
              <c:f>Gym_Fitness_Data!$E$1</c:f>
              <c:strCache>
                <c:ptCount val="1"/>
                <c:pt idx="0">
                  <c:v>Weight 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1.5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2.5</c:v>
                </c:pt>
                <c:pt idx="8">
                  <c:v>4</c:v>
                </c:pt>
                <c:pt idx="9">
                  <c:v>1.8</c:v>
                </c:pt>
                <c:pt idx="10">
                  <c:v>5</c:v>
                </c:pt>
                <c:pt idx="11">
                  <c:v>1</c:v>
                </c:pt>
                <c:pt idx="12">
                  <c:v>3.2</c:v>
                </c:pt>
                <c:pt idx="13">
                  <c:v>2.6</c:v>
                </c:pt>
                <c:pt idx="14">
                  <c:v>4.2</c:v>
                </c:pt>
                <c:pt idx="15">
                  <c:v>1.9</c:v>
                </c:pt>
                <c:pt idx="16">
                  <c:v>5.3</c:v>
                </c:pt>
                <c:pt idx="17">
                  <c:v>1.1000000000000001</c:v>
                </c:pt>
                <c:pt idx="18">
                  <c:v>3.1</c:v>
                </c:pt>
                <c:pt idx="19">
                  <c:v>2.7</c:v>
                </c:pt>
                <c:pt idx="20">
                  <c:v>4</c:v>
                </c:pt>
                <c:pt idx="21">
                  <c:v>1.7</c:v>
                </c:pt>
                <c:pt idx="22">
                  <c:v>5.5</c:v>
                </c:pt>
                <c:pt idx="23">
                  <c:v>1</c:v>
                </c:pt>
                <c:pt idx="24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D-4EBA-AFC5-0342E14A160A}"/>
            </c:ext>
          </c:extLst>
        </c:ser>
        <c:ser>
          <c:idx val="3"/>
          <c:order val="3"/>
          <c:tx>
            <c:strRef>
              <c:f>Gym_Fitness_Data!$F$1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Gym_Fitness_Data!$F$2:$F$26</c:f>
              <c:numCache>
                <c:formatCode>General</c:formatCode>
                <c:ptCount val="25"/>
                <c:pt idx="0">
                  <c:v>2.7760000000000002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4D-4EBA-AFC5-0342E14A160A}"/>
            </c:ext>
          </c:extLst>
        </c:ser>
        <c:ser>
          <c:idx val="4"/>
          <c:order val="4"/>
          <c:tx>
            <c:strRef>
              <c:f>Gym_Fitness_Data!$G$1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Gym_Fitness_Data!$G$2:$G$26</c:f>
              <c:numCache>
                <c:formatCode>General</c:formatCode>
                <c:ptCount val="25"/>
                <c:pt idx="0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4D-4EBA-AFC5-0342E14A160A}"/>
            </c:ext>
          </c:extLst>
        </c:ser>
        <c:ser>
          <c:idx val="5"/>
          <c:order val="5"/>
          <c:tx>
            <c:strRef>
              <c:f>Gym_Fitness_Data!$H$1</c:f>
              <c:strCache>
                <c:ptCount val="1"/>
                <c:pt idx="0">
                  <c:v>MODE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Gym_Fitness_Data!$H$2:$H$26</c:f>
              <c:numCache>
                <c:formatCode>General</c:formatCode>
                <c:ptCount val="25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4D-4EBA-AFC5-0342E14A160A}"/>
            </c:ext>
          </c:extLst>
        </c:ser>
        <c:ser>
          <c:idx val="6"/>
          <c:order val="6"/>
          <c:tx>
            <c:strRef>
              <c:f>Gym_Fitness_Data!$I$1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Gym_Fitness_Data!$I$2:$I$26</c:f>
              <c:numCache>
                <c:formatCode>General</c:formatCode>
                <c:ptCount val="25"/>
                <c:pt idx="0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4D-4EBA-AFC5-0342E14A160A}"/>
            </c:ext>
          </c:extLst>
        </c:ser>
        <c:ser>
          <c:idx val="7"/>
          <c:order val="7"/>
          <c:tx>
            <c:strRef>
              <c:f>Gym_Fitness_Data!$J$1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Gym_Fitness_Data!$J$2:$J$26</c:f>
              <c:numCache>
                <c:formatCode>General</c:formatCode>
                <c:ptCount val="25"/>
                <c:pt idx="0">
                  <c:v>1.9402333333333328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4D-4EBA-AFC5-0342E14A160A}"/>
            </c:ext>
          </c:extLst>
        </c:ser>
        <c:ser>
          <c:idx val="8"/>
          <c:order val="8"/>
          <c:tx>
            <c:strRef>
              <c:f>Gym_Fitness_Data!$K$1</c:f>
              <c:strCache>
                <c:ptCount val="1"/>
                <c:pt idx="0">
                  <c:v>STD DEVIATION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Gym_Fitness_Data!$K$2:$K$26</c:f>
              <c:numCache>
                <c:formatCode>General</c:formatCode>
                <c:ptCount val="25"/>
                <c:pt idx="0">
                  <c:v>1.3929225869851249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4D-4EBA-AFC5-0342E14A160A}"/>
            </c:ext>
          </c:extLst>
        </c:ser>
        <c:ser>
          <c:idx val="9"/>
          <c:order val="9"/>
          <c:tx>
            <c:strRef>
              <c:f>Gym_Fitness_Data!$L$1</c:f>
              <c:strCache>
                <c:ptCount val="1"/>
                <c:pt idx="0">
                  <c:v>CORRELATION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Gym_Fitness_Data!$A$2:$B$26</c15:sqref>
                  </c15:fullRef>
                  <c15:levelRef>
                    <c15:sqref>Gym_Fitness_Data!$A$2:$A$26</c15:sqref>
                  </c15:levelRef>
                </c:ext>
              </c:extLst>
              <c:f>Gym_Fitness_Data!$A$2:$A$26</c:f>
              <c:strCache>
                <c:ptCount val="25"/>
                <c:pt idx="0">
                  <c:v>G001</c:v>
                </c:pt>
                <c:pt idx="1">
                  <c:v>G002</c:v>
                </c:pt>
                <c:pt idx="2">
                  <c:v>G003</c:v>
                </c:pt>
                <c:pt idx="3">
                  <c:v>G004</c:v>
                </c:pt>
                <c:pt idx="4">
                  <c:v>G005</c:v>
                </c:pt>
                <c:pt idx="5">
                  <c:v>G006</c:v>
                </c:pt>
                <c:pt idx="6">
                  <c:v>G007</c:v>
                </c:pt>
                <c:pt idx="7">
                  <c:v>G008</c:v>
                </c:pt>
                <c:pt idx="8">
                  <c:v>G009</c:v>
                </c:pt>
                <c:pt idx="9">
                  <c:v>G010</c:v>
                </c:pt>
                <c:pt idx="10">
                  <c:v>G011</c:v>
                </c:pt>
                <c:pt idx="11">
                  <c:v>G012</c:v>
                </c:pt>
                <c:pt idx="12">
                  <c:v>G013</c:v>
                </c:pt>
                <c:pt idx="13">
                  <c:v>G014</c:v>
                </c:pt>
                <c:pt idx="14">
                  <c:v>G015</c:v>
                </c:pt>
                <c:pt idx="15">
                  <c:v>G016</c:v>
                </c:pt>
                <c:pt idx="16">
                  <c:v>G017</c:v>
                </c:pt>
                <c:pt idx="17">
                  <c:v>G018</c:v>
                </c:pt>
                <c:pt idx="18">
                  <c:v>G019</c:v>
                </c:pt>
                <c:pt idx="19">
                  <c:v>G020</c:v>
                </c:pt>
                <c:pt idx="20">
                  <c:v>G021</c:v>
                </c:pt>
                <c:pt idx="21">
                  <c:v>G022</c:v>
                </c:pt>
                <c:pt idx="22">
                  <c:v>G023</c:v>
                </c:pt>
                <c:pt idx="23">
                  <c:v>G024</c:v>
                </c:pt>
                <c:pt idx="24">
                  <c:v>G025</c:v>
                </c:pt>
              </c:strCache>
            </c:strRef>
          </c:cat>
          <c:val>
            <c:numRef>
              <c:f>Gym_Fitness_Data!$L$2:$L$26</c:f>
              <c:numCache>
                <c:formatCode>General</c:formatCode>
                <c:ptCount val="25"/>
                <c:pt idx="0">
                  <c:v>0.98642363074575434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4D-4EBA-AFC5-0342E14A1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799152"/>
        <c:axId val="1134808752"/>
      </c:lineChart>
      <c:catAx>
        <c:axId val="113479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08752"/>
        <c:crosses val="autoZero"/>
        <c:auto val="1"/>
        <c:lblAlgn val="ctr"/>
        <c:lblOffset val="100"/>
        <c:noMultiLvlLbl val="0"/>
      </c:catAx>
      <c:valAx>
        <c:axId val="11348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9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Gym_Fitness_Data!$C$1</c:f>
              <c:strCache>
                <c:ptCount val="1"/>
                <c:pt idx="0">
                  <c:v>Workout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Gym_Fitness_Data!$C$2:$C$26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7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7</c:v>
                </c:pt>
                <c:pt idx="17">
                  <c:v>2</c:v>
                </c:pt>
                <c:pt idx="18">
                  <c:v>5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7</c:v>
                </c:pt>
                <c:pt idx="23">
                  <c:v>2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9-4614-B3C8-2668FC7831B9}"/>
            </c:ext>
          </c:extLst>
        </c:ser>
        <c:ser>
          <c:idx val="1"/>
          <c:order val="1"/>
          <c:tx>
            <c:strRef>
              <c:f>Gym_Fitness_Data!$D$1</c:f>
              <c:strCache>
                <c:ptCount val="1"/>
                <c:pt idx="0">
                  <c:v>Calories Burned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Gym_Fitness_Data!$D$2:$D$26</c:f>
              <c:numCache>
                <c:formatCode>General</c:formatCode>
                <c:ptCount val="25"/>
                <c:pt idx="0">
                  <c:v>300</c:v>
                </c:pt>
                <c:pt idx="1">
                  <c:v>600</c:v>
                </c:pt>
                <c:pt idx="2">
                  <c:v>750</c:v>
                </c:pt>
                <c:pt idx="3">
                  <c:v>450</c:v>
                </c:pt>
                <c:pt idx="4">
                  <c:v>900</c:v>
                </c:pt>
                <c:pt idx="5">
                  <c:v>320</c:v>
                </c:pt>
                <c:pt idx="6">
                  <c:v>780</c:v>
                </c:pt>
                <c:pt idx="7">
                  <c:v>620</c:v>
                </c:pt>
                <c:pt idx="8">
                  <c:v>950</c:v>
                </c:pt>
                <c:pt idx="9">
                  <c:v>480</c:v>
                </c:pt>
                <c:pt idx="10">
                  <c:v>1100</c:v>
                </c:pt>
                <c:pt idx="11">
                  <c:v>310</c:v>
                </c:pt>
                <c:pt idx="12">
                  <c:v>820</c:v>
                </c:pt>
                <c:pt idx="13">
                  <c:v>650</c:v>
                </c:pt>
                <c:pt idx="14">
                  <c:v>980</c:v>
                </c:pt>
                <c:pt idx="15">
                  <c:v>500</c:v>
                </c:pt>
                <c:pt idx="16">
                  <c:v>1150</c:v>
                </c:pt>
                <c:pt idx="17">
                  <c:v>340</c:v>
                </c:pt>
                <c:pt idx="18">
                  <c:v>790</c:v>
                </c:pt>
                <c:pt idx="19">
                  <c:v>670</c:v>
                </c:pt>
                <c:pt idx="20">
                  <c:v>930</c:v>
                </c:pt>
                <c:pt idx="21">
                  <c:v>470</c:v>
                </c:pt>
                <c:pt idx="22">
                  <c:v>1200</c:v>
                </c:pt>
                <c:pt idx="23">
                  <c:v>330</c:v>
                </c:pt>
                <c:pt idx="24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9-4614-B3C8-2668FC7831B9}"/>
            </c:ext>
          </c:extLst>
        </c:ser>
        <c:ser>
          <c:idx val="2"/>
          <c:order val="2"/>
          <c:tx>
            <c:strRef>
              <c:f>Gym_Fitness_Data!$E$1</c:f>
              <c:strCache>
                <c:ptCount val="1"/>
                <c:pt idx="0">
                  <c:v>Weight Loss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1.5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2.5</c:v>
                </c:pt>
                <c:pt idx="8">
                  <c:v>4</c:v>
                </c:pt>
                <c:pt idx="9">
                  <c:v>1.8</c:v>
                </c:pt>
                <c:pt idx="10">
                  <c:v>5</c:v>
                </c:pt>
                <c:pt idx="11">
                  <c:v>1</c:v>
                </c:pt>
                <c:pt idx="12">
                  <c:v>3.2</c:v>
                </c:pt>
                <c:pt idx="13">
                  <c:v>2.6</c:v>
                </c:pt>
                <c:pt idx="14">
                  <c:v>4.2</c:v>
                </c:pt>
                <c:pt idx="15">
                  <c:v>1.9</c:v>
                </c:pt>
                <c:pt idx="16">
                  <c:v>5.3</c:v>
                </c:pt>
                <c:pt idx="17">
                  <c:v>1.1000000000000001</c:v>
                </c:pt>
                <c:pt idx="18">
                  <c:v>3.1</c:v>
                </c:pt>
                <c:pt idx="19">
                  <c:v>2.7</c:v>
                </c:pt>
                <c:pt idx="20">
                  <c:v>4</c:v>
                </c:pt>
                <c:pt idx="21">
                  <c:v>1.7</c:v>
                </c:pt>
                <c:pt idx="22">
                  <c:v>5.5</c:v>
                </c:pt>
                <c:pt idx="23">
                  <c:v>1</c:v>
                </c:pt>
                <c:pt idx="24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9-4614-B3C8-2668FC7831B9}"/>
            </c:ext>
          </c:extLst>
        </c:ser>
        <c:ser>
          <c:idx val="3"/>
          <c:order val="3"/>
          <c:tx>
            <c:strRef>
              <c:f>Gym_Fitness_Data!$F$1</c:f>
              <c:strCache>
                <c:ptCount val="1"/>
                <c:pt idx="0">
                  <c:v>MEAN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Gym_Fitness_Data!$F$2:$F$26</c:f>
              <c:numCache>
                <c:formatCode>General</c:formatCode>
                <c:ptCount val="25"/>
                <c:pt idx="0">
                  <c:v>2.7760000000000002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B9-4614-B3C8-2668FC7831B9}"/>
            </c:ext>
          </c:extLst>
        </c:ser>
        <c:ser>
          <c:idx val="4"/>
          <c:order val="4"/>
          <c:tx>
            <c:strRef>
              <c:f>Gym_Fitness_Data!$G$1</c:f>
              <c:strCache>
                <c:ptCount val="1"/>
                <c:pt idx="0">
                  <c:v>MEDIAN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Gym_Fitness_Data!$G$2:$G$26</c:f>
              <c:numCache>
                <c:formatCode>General</c:formatCode>
                <c:ptCount val="25"/>
                <c:pt idx="0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B9-4614-B3C8-2668FC7831B9}"/>
            </c:ext>
          </c:extLst>
        </c:ser>
        <c:ser>
          <c:idx val="5"/>
          <c:order val="5"/>
          <c:tx>
            <c:strRef>
              <c:f>Gym_Fitness_Data!$H$1</c:f>
              <c:strCache>
                <c:ptCount val="1"/>
                <c:pt idx="0">
                  <c:v>MODE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Gym_Fitness_Data!$H$2:$H$26</c:f>
              <c:numCache>
                <c:formatCode>General</c:formatCode>
                <c:ptCount val="2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B9-4614-B3C8-2668FC7831B9}"/>
            </c:ext>
          </c:extLst>
        </c:ser>
        <c:ser>
          <c:idx val="6"/>
          <c:order val="6"/>
          <c:tx>
            <c:strRef>
              <c:f>Gym_Fitness_Data!$I$1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Gym_Fitness_Data!$I$2:$I$26</c:f>
              <c:numCache>
                <c:formatCode>General</c:formatCode>
                <c:ptCount val="25"/>
                <c:pt idx="0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B9-4614-B3C8-2668FC7831B9}"/>
            </c:ext>
          </c:extLst>
        </c:ser>
        <c:ser>
          <c:idx val="7"/>
          <c:order val="7"/>
          <c:tx>
            <c:strRef>
              <c:f>Gym_Fitness_Data!$J$1</c:f>
              <c:strCache>
                <c:ptCount val="1"/>
                <c:pt idx="0">
                  <c:v>VARIANCE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Gym_Fitness_Data!$J$2:$J$26</c:f>
              <c:numCache>
                <c:formatCode>General</c:formatCode>
                <c:ptCount val="25"/>
                <c:pt idx="0">
                  <c:v>1.9402333333333328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B9-4614-B3C8-2668FC7831B9}"/>
            </c:ext>
          </c:extLst>
        </c:ser>
        <c:ser>
          <c:idx val="8"/>
          <c:order val="8"/>
          <c:tx>
            <c:strRef>
              <c:f>Gym_Fitness_Data!$K$1</c:f>
              <c:strCache>
                <c:ptCount val="1"/>
                <c:pt idx="0">
                  <c:v>STD DEVIATION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Gym_Fitness_Data!$K$2:$K$26</c:f>
              <c:numCache>
                <c:formatCode>General</c:formatCode>
                <c:ptCount val="25"/>
                <c:pt idx="0">
                  <c:v>1.3929225869851249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B9-4614-B3C8-2668FC7831B9}"/>
            </c:ext>
          </c:extLst>
        </c:ser>
        <c:ser>
          <c:idx val="9"/>
          <c:order val="9"/>
          <c:tx>
            <c:strRef>
              <c:f>Gym_Fitness_Data!$L$1</c:f>
              <c:strCache>
                <c:ptCount val="1"/>
                <c:pt idx="0">
                  <c:v>CORRELATION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Gym_Fitness_Data!$A$2:$B$26</c:f>
              <c:multiLvlStrCache>
                <c:ptCount val="25"/>
                <c:lvl>
                  <c:pt idx="0">
                    <c:v>Rohit Sharma</c:v>
                  </c:pt>
                  <c:pt idx="1">
                    <c:v>Pooja Verma</c:v>
                  </c:pt>
                  <c:pt idx="2">
                    <c:v>Aman Jain</c:v>
                  </c:pt>
                  <c:pt idx="3">
                    <c:v>Sneha Kapoor</c:v>
                  </c:pt>
                  <c:pt idx="4">
                    <c:v>Vikram Das</c:v>
                  </c:pt>
                  <c:pt idx="5">
                    <c:v>Riya Menon</c:v>
                  </c:pt>
                  <c:pt idx="6">
                    <c:v>Harish Patel</c:v>
                  </c:pt>
                  <c:pt idx="7">
                    <c:v>Neha Rao</c:v>
                  </c:pt>
                  <c:pt idx="8">
                    <c:v>Kunal Singh</c:v>
                  </c:pt>
                  <c:pt idx="9">
                    <c:v>Tanya Gupta</c:v>
                  </c:pt>
                  <c:pt idx="10">
                    <c:v>Arjun Verma</c:v>
                  </c:pt>
                  <c:pt idx="11">
                    <c:v>Meera Joshi</c:v>
                  </c:pt>
                  <c:pt idx="12">
                    <c:v>Deepak Kumar</c:v>
                  </c:pt>
                  <c:pt idx="13">
                    <c:v>Sakshi Jain</c:v>
                  </c:pt>
                  <c:pt idx="14">
                    <c:v>Vinay Sharma</c:v>
                  </c:pt>
                  <c:pt idx="15">
                    <c:v>Bhavana Das</c:v>
                  </c:pt>
                  <c:pt idx="16">
                    <c:v>Rahul Nair</c:v>
                  </c:pt>
                  <c:pt idx="17">
                    <c:v>Aarti Singh</c:v>
                  </c:pt>
                  <c:pt idx="18">
                    <c:v>Suresh Rao</c:v>
                  </c:pt>
                  <c:pt idx="19">
                    <c:v>Divya Kapoor</c:v>
                  </c:pt>
                  <c:pt idx="20">
                    <c:v>Imran Ali</c:v>
                  </c:pt>
                  <c:pt idx="21">
                    <c:v>Kavya Menon</c:v>
                  </c:pt>
                  <c:pt idx="22">
                    <c:v>Manoj Verma</c:v>
                  </c:pt>
                  <c:pt idx="23">
                    <c:v>Priti Sharma</c:v>
                  </c:pt>
                  <c:pt idx="24">
                    <c:v>Ajay Patel</c:v>
                  </c:pt>
                </c:lvl>
                <c:lvl>
                  <c:pt idx="0">
                    <c:v>G001</c:v>
                  </c:pt>
                  <c:pt idx="1">
                    <c:v>G002</c:v>
                  </c:pt>
                  <c:pt idx="2">
                    <c:v>G003</c:v>
                  </c:pt>
                  <c:pt idx="3">
                    <c:v>G004</c:v>
                  </c:pt>
                  <c:pt idx="4">
                    <c:v>G005</c:v>
                  </c:pt>
                  <c:pt idx="5">
                    <c:v>G006</c:v>
                  </c:pt>
                  <c:pt idx="6">
                    <c:v>G007</c:v>
                  </c:pt>
                  <c:pt idx="7">
                    <c:v>G008</c:v>
                  </c:pt>
                  <c:pt idx="8">
                    <c:v>G009</c:v>
                  </c:pt>
                  <c:pt idx="9">
                    <c:v>G010</c:v>
                  </c:pt>
                  <c:pt idx="10">
                    <c:v>G011</c:v>
                  </c:pt>
                  <c:pt idx="11">
                    <c:v>G012</c:v>
                  </c:pt>
                  <c:pt idx="12">
                    <c:v>G013</c:v>
                  </c:pt>
                  <c:pt idx="13">
                    <c:v>G014</c:v>
                  </c:pt>
                  <c:pt idx="14">
                    <c:v>G015</c:v>
                  </c:pt>
                  <c:pt idx="15">
                    <c:v>G016</c:v>
                  </c:pt>
                  <c:pt idx="16">
                    <c:v>G017</c:v>
                  </c:pt>
                  <c:pt idx="17">
                    <c:v>G018</c:v>
                  </c:pt>
                  <c:pt idx="18">
                    <c:v>G019</c:v>
                  </c:pt>
                  <c:pt idx="19">
                    <c:v>G020</c:v>
                  </c:pt>
                  <c:pt idx="20">
                    <c:v>G021</c:v>
                  </c:pt>
                  <c:pt idx="21">
                    <c:v>G022</c:v>
                  </c:pt>
                  <c:pt idx="22">
                    <c:v>G023</c:v>
                  </c:pt>
                  <c:pt idx="23">
                    <c:v>G024</c:v>
                  </c:pt>
                  <c:pt idx="24">
                    <c:v>G025</c:v>
                  </c:pt>
                </c:lvl>
              </c:multiLvlStrCache>
            </c:multiLvlStrRef>
          </c:cat>
          <c:val>
            <c:numRef>
              <c:f>Gym_Fitness_Data!$L$2:$L$26</c:f>
              <c:numCache>
                <c:formatCode>General</c:formatCode>
                <c:ptCount val="25"/>
                <c:pt idx="0">
                  <c:v>0.98642363074575434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B9-4614-B3C8-2668FC78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2</xdr:row>
      <xdr:rowOff>148590</xdr:rowOff>
    </xdr:from>
    <xdr:to>
      <xdr:col>13</xdr:col>
      <xdr:colOff>190500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FC824-FA4B-30DD-16FB-3489561E4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251460</xdr:colOff>
      <xdr:row>18</xdr:row>
      <xdr:rowOff>34290</xdr:rowOff>
    </xdr:from>
    <xdr:to>
      <xdr:col>13</xdr:col>
      <xdr:colOff>556260</xdr:colOff>
      <xdr:row>33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765E6-8D5E-A4F8-3B09-275983B39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6A1E-F380-4DF3-A6E2-3624D6561604}">
  <dimension ref="A1:B15"/>
  <sheetViews>
    <sheetView workbookViewId="0">
      <selection activeCell="E8" sqref="E8"/>
    </sheetView>
  </sheetViews>
  <sheetFormatPr defaultRowHeight="14.4" x14ac:dyDescent="0.3"/>
  <cols>
    <col min="1" max="1" width="20.33203125" customWidth="1"/>
    <col min="2" max="2" width="17.33203125" customWidth="1"/>
  </cols>
  <sheetData>
    <row r="1" spans="1:2" x14ac:dyDescent="0.3">
      <c r="A1" s="5">
        <v>300</v>
      </c>
      <c r="B1" s="5"/>
    </row>
    <row r="2" spans="1:2" x14ac:dyDescent="0.3">
      <c r="A2" s="2"/>
      <c r="B2" s="2"/>
    </row>
    <row r="3" spans="1:2" x14ac:dyDescent="0.3">
      <c r="A3" s="2" t="s">
        <v>62</v>
      </c>
      <c r="B3" s="2">
        <v>704.16666666666663</v>
      </c>
    </row>
    <row r="4" spans="1:2" x14ac:dyDescent="0.3">
      <c r="A4" s="2" t="s">
        <v>63</v>
      </c>
      <c r="B4" s="2">
        <v>55.101739453680203</v>
      </c>
    </row>
    <row r="5" spans="1:2" x14ac:dyDescent="0.3">
      <c r="A5" s="2" t="s">
        <v>64</v>
      </c>
      <c r="B5" s="2">
        <v>710</v>
      </c>
    </row>
    <row r="6" spans="1:2" x14ac:dyDescent="0.3">
      <c r="A6" s="2" t="s">
        <v>65</v>
      </c>
      <c r="B6" s="2">
        <v>1</v>
      </c>
    </row>
    <row r="7" spans="1:2" x14ac:dyDescent="0.3">
      <c r="A7" s="2" t="s">
        <v>66</v>
      </c>
      <c r="B7" s="2">
        <v>269.94229120260161</v>
      </c>
    </row>
    <row r="8" spans="1:2" x14ac:dyDescent="0.3">
      <c r="A8" s="2" t="s">
        <v>67</v>
      </c>
      <c r="B8" s="2">
        <v>72868.840579710173</v>
      </c>
    </row>
    <row r="9" spans="1:2" x14ac:dyDescent="0.3">
      <c r="A9" s="2" t="s">
        <v>68</v>
      </c>
      <c r="B9" s="2">
        <v>-0.95585579433667256</v>
      </c>
    </row>
    <row r="10" spans="1:2" x14ac:dyDescent="0.3">
      <c r="A10" s="2" t="s">
        <v>69</v>
      </c>
      <c r="B10" s="2">
        <v>0.14886884327526273</v>
      </c>
    </row>
    <row r="11" spans="1:2" x14ac:dyDescent="0.3">
      <c r="A11" s="2" t="s">
        <v>70</v>
      </c>
      <c r="B11" s="2">
        <v>890</v>
      </c>
    </row>
    <row r="12" spans="1:2" x14ac:dyDescent="0.3">
      <c r="A12" s="2" t="s">
        <v>71</v>
      </c>
      <c r="B12" s="2">
        <v>310</v>
      </c>
    </row>
    <row r="13" spans="1:2" x14ac:dyDescent="0.3">
      <c r="A13" s="2" t="s">
        <v>72</v>
      </c>
      <c r="B13" s="2">
        <v>1200</v>
      </c>
    </row>
    <row r="14" spans="1:2" x14ac:dyDescent="0.3">
      <c r="A14" s="2" t="s">
        <v>73</v>
      </c>
      <c r="B14" s="2">
        <v>16900</v>
      </c>
    </row>
    <row r="15" spans="1:2" ht="15" thickBot="1" x14ac:dyDescent="0.35">
      <c r="A15" s="3" t="s">
        <v>74</v>
      </c>
      <c r="B15" s="3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30D4-9800-419E-99EE-021390619AD6}">
  <dimension ref="A1:I18"/>
  <sheetViews>
    <sheetView tabSelected="1" workbookViewId="0">
      <selection sqref="A1:I21"/>
    </sheetView>
  </sheetViews>
  <sheetFormatPr defaultRowHeight="14.4" x14ac:dyDescent="0.3"/>
  <sheetData>
    <row r="1" spans="1:9" x14ac:dyDescent="0.3">
      <c r="A1" t="s">
        <v>75</v>
      </c>
    </row>
    <row r="2" spans="1:9" ht="15" thickBot="1" x14ac:dyDescent="0.35"/>
    <row r="3" spans="1:9" x14ac:dyDescent="0.3">
      <c r="A3" s="5" t="s">
        <v>76</v>
      </c>
      <c r="B3" s="5"/>
    </row>
    <row r="4" spans="1:9" x14ac:dyDescent="0.3">
      <c r="A4" s="2" t="s">
        <v>77</v>
      </c>
      <c r="B4" s="2">
        <v>0.99485258467817317</v>
      </c>
    </row>
    <row r="5" spans="1:9" x14ac:dyDescent="0.3">
      <c r="A5" s="2" t="s">
        <v>78</v>
      </c>
      <c r="B5" s="2">
        <v>0.98973166524084166</v>
      </c>
    </row>
    <row r="6" spans="1:9" x14ac:dyDescent="0.3">
      <c r="A6" s="2" t="s">
        <v>79</v>
      </c>
      <c r="B6" s="2">
        <v>0.98926492275178901</v>
      </c>
    </row>
    <row r="7" spans="1:9" x14ac:dyDescent="0.3">
      <c r="A7" s="2" t="s">
        <v>63</v>
      </c>
      <c r="B7" s="2">
        <v>0.14212886732187405</v>
      </c>
    </row>
    <row r="8" spans="1:9" ht="15" thickBot="1" x14ac:dyDescent="0.35">
      <c r="A8" s="3" t="s">
        <v>80</v>
      </c>
      <c r="B8" s="3">
        <v>24</v>
      </c>
    </row>
    <row r="10" spans="1:9" ht="15" thickBot="1" x14ac:dyDescent="0.35">
      <c r="A10" t="s">
        <v>81</v>
      </c>
    </row>
    <row r="11" spans="1:9" x14ac:dyDescent="0.3">
      <c r="A11" s="4"/>
      <c r="B11" s="4" t="s">
        <v>86</v>
      </c>
      <c r="C11" s="4" t="s">
        <v>87</v>
      </c>
      <c r="D11" s="4" t="s">
        <v>88</v>
      </c>
      <c r="E11" s="4" t="s">
        <v>89</v>
      </c>
      <c r="F11" s="4" t="s">
        <v>90</v>
      </c>
    </row>
    <row r="12" spans="1:9" x14ac:dyDescent="0.3">
      <c r="A12" s="2" t="s">
        <v>82</v>
      </c>
      <c r="B12" s="2">
        <v>1</v>
      </c>
      <c r="C12" s="2">
        <v>42.835586471623621</v>
      </c>
      <c r="D12" s="2">
        <v>42.835586471623621</v>
      </c>
      <c r="E12" s="2">
        <v>2120.5090353991486</v>
      </c>
      <c r="F12" s="2">
        <v>2.2612530693342072E-23</v>
      </c>
    </row>
    <row r="13" spans="1:9" x14ac:dyDescent="0.3">
      <c r="A13" s="2" t="s">
        <v>83</v>
      </c>
      <c r="B13" s="2">
        <v>22</v>
      </c>
      <c r="C13" s="2">
        <v>0.44441352837637532</v>
      </c>
      <c r="D13" s="2">
        <v>2.0200614926198877E-2</v>
      </c>
      <c r="E13" s="2"/>
      <c r="F13" s="2"/>
    </row>
    <row r="14" spans="1:9" ht="15" thickBot="1" x14ac:dyDescent="0.35">
      <c r="A14" s="3" t="s">
        <v>84</v>
      </c>
      <c r="B14" s="3">
        <v>23</v>
      </c>
      <c r="C14" s="3">
        <v>43.279999999999994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91</v>
      </c>
      <c r="C16" s="4" t="s">
        <v>63</v>
      </c>
      <c r="D16" s="4" t="s">
        <v>92</v>
      </c>
      <c r="E16" s="4" t="s">
        <v>93</v>
      </c>
      <c r="F16" s="4" t="s">
        <v>94</v>
      </c>
      <c r="G16" s="4" t="s">
        <v>95</v>
      </c>
      <c r="H16" s="4" t="s">
        <v>96</v>
      </c>
      <c r="I16" s="4" t="s">
        <v>97</v>
      </c>
    </row>
    <row r="17" spans="1:9" x14ac:dyDescent="0.3">
      <c r="A17" s="2" t="s">
        <v>85</v>
      </c>
      <c r="B17" s="2">
        <v>-0.70994242186179113</v>
      </c>
      <c r="C17" s="2">
        <v>8.2572253827181072E-2</v>
      </c>
      <c r="D17" s="2">
        <v>-8.5978326732810189</v>
      </c>
      <c r="E17" s="2">
        <v>1.74839146216526E-8</v>
      </c>
      <c r="F17" s="2">
        <v>-0.88118679523011711</v>
      </c>
      <c r="G17" s="2">
        <v>-0.53869804849346514</v>
      </c>
      <c r="H17" s="2">
        <v>-0.88118679523011711</v>
      </c>
      <c r="I17" s="2">
        <v>-0.53869804849346514</v>
      </c>
    </row>
    <row r="18" spans="1:9" ht="15" thickBot="1" x14ac:dyDescent="0.35">
      <c r="A18" s="3">
        <v>300</v>
      </c>
      <c r="B18" s="3">
        <v>5.055539534004911E-3</v>
      </c>
      <c r="C18" s="3">
        <v>1.0978612264935341E-4</v>
      </c>
      <c r="D18" s="3">
        <v>46.048985172304796</v>
      </c>
      <c r="E18" s="3">
        <v>2.2612530693342395E-23</v>
      </c>
      <c r="F18" s="3">
        <v>4.8278570510128091E-3</v>
      </c>
      <c r="G18" s="3">
        <v>5.2832220169970129E-3</v>
      </c>
      <c r="H18" s="3">
        <v>4.8278570510128091E-3</v>
      </c>
      <c r="I18" s="3">
        <v>5.2832220169970129E-3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opLeftCell="A3" workbookViewId="0">
      <selection activeCell="R12" sqref="R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2</v>
      </c>
      <c r="D2">
        <v>300</v>
      </c>
      <c r="E2">
        <v>1</v>
      </c>
      <c r="F2">
        <f>AVERAGE(E2:E26)</f>
        <v>2.7760000000000002</v>
      </c>
      <c r="G2">
        <f>MEDIAN(E2:E26)</f>
        <v>2.7</v>
      </c>
      <c r="H2">
        <f>MODE(E2:E26)</f>
        <v>1</v>
      </c>
      <c r="I2">
        <f>MAX(E2:E26)-MIN(E2:E26)</f>
        <v>4.5</v>
      </c>
      <c r="J2">
        <f>_xlfn.VAR.S(E2:E26)</f>
        <v>1.9402333333333328</v>
      </c>
      <c r="K2">
        <f>_xlfn.STDEV.S(E2:E26)</f>
        <v>1.3929225869851249</v>
      </c>
      <c r="L2">
        <f>CORREL(C2:C26,E2:E26)</f>
        <v>0.98642363074575434</v>
      </c>
    </row>
    <row r="3" spans="1:12" x14ac:dyDescent="0.3">
      <c r="A3" t="s">
        <v>14</v>
      </c>
      <c r="B3" t="s">
        <v>15</v>
      </c>
      <c r="C3">
        <v>4</v>
      </c>
      <c r="D3">
        <v>600</v>
      </c>
      <c r="E3">
        <v>2</v>
      </c>
    </row>
    <row r="4" spans="1:12" x14ac:dyDescent="0.3">
      <c r="A4" t="s">
        <v>16</v>
      </c>
      <c r="B4" t="s">
        <v>17</v>
      </c>
      <c r="C4">
        <v>5</v>
      </c>
      <c r="D4">
        <v>750</v>
      </c>
      <c r="E4">
        <v>3</v>
      </c>
    </row>
    <row r="5" spans="1:12" x14ac:dyDescent="0.3">
      <c r="A5" t="s">
        <v>18</v>
      </c>
      <c r="B5" t="s">
        <v>19</v>
      </c>
      <c r="C5">
        <v>3</v>
      </c>
      <c r="D5">
        <v>450</v>
      </c>
      <c r="E5">
        <v>1.5</v>
      </c>
    </row>
    <row r="6" spans="1:12" x14ac:dyDescent="0.3">
      <c r="A6" t="s">
        <v>20</v>
      </c>
      <c r="B6" t="s">
        <v>21</v>
      </c>
      <c r="C6">
        <v>6</v>
      </c>
      <c r="D6">
        <v>900</v>
      </c>
      <c r="E6">
        <v>4</v>
      </c>
    </row>
    <row r="7" spans="1:12" x14ac:dyDescent="0.3">
      <c r="A7" t="s">
        <v>22</v>
      </c>
      <c r="B7" t="s">
        <v>23</v>
      </c>
      <c r="C7">
        <v>2</v>
      </c>
      <c r="D7">
        <v>320</v>
      </c>
      <c r="E7">
        <v>1</v>
      </c>
    </row>
    <row r="8" spans="1:12" x14ac:dyDescent="0.3">
      <c r="A8" t="s">
        <v>24</v>
      </c>
      <c r="B8" t="s">
        <v>25</v>
      </c>
      <c r="C8">
        <v>5</v>
      </c>
      <c r="D8">
        <v>780</v>
      </c>
      <c r="E8">
        <v>3</v>
      </c>
    </row>
    <row r="9" spans="1:12" x14ac:dyDescent="0.3">
      <c r="A9" t="s">
        <v>26</v>
      </c>
      <c r="B9" t="s">
        <v>27</v>
      </c>
      <c r="C9">
        <v>4</v>
      </c>
      <c r="D9">
        <v>620</v>
      </c>
      <c r="E9">
        <v>2.5</v>
      </c>
    </row>
    <row r="10" spans="1:12" x14ac:dyDescent="0.3">
      <c r="A10" t="s">
        <v>28</v>
      </c>
      <c r="B10" t="s">
        <v>29</v>
      </c>
      <c r="C10">
        <v>6</v>
      </c>
      <c r="D10">
        <v>950</v>
      </c>
      <c r="E10">
        <v>4</v>
      </c>
    </row>
    <row r="11" spans="1:12" x14ac:dyDescent="0.3">
      <c r="A11" t="s">
        <v>30</v>
      </c>
      <c r="B11" t="s">
        <v>31</v>
      </c>
      <c r="C11">
        <v>3</v>
      </c>
      <c r="D11">
        <v>480</v>
      </c>
      <c r="E11">
        <v>1.8</v>
      </c>
    </row>
    <row r="12" spans="1:12" x14ac:dyDescent="0.3">
      <c r="A12" t="s">
        <v>32</v>
      </c>
      <c r="B12" t="s">
        <v>33</v>
      </c>
      <c r="C12">
        <v>7</v>
      </c>
      <c r="D12">
        <v>1100</v>
      </c>
      <c r="E12">
        <v>5</v>
      </c>
    </row>
    <row r="13" spans="1:12" x14ac:dyDescent="0.3">
      <c r="A13" t="s">
        <v>34</v>
      </c>
      <c r="B13" t="s">
        <v>35</v>
      </c>
      <c r="C13">
        <v>2</v>
      </c>
      <c r="D13">
        <v>310</v>
      </c>
      <c r="E13">
        <v>1</v>
      </c>
    </row>
    <row r="14" spans="1:12" x14ac:dyDescent="0.3">
      <c r="A14" t="s">
        <v>36</v>
      </c>
      <c r="B14" t="s">
        <v>37</v>
      </c>
      <c r="C14">
        <v>5</v>
      </c>
      <c r="D14">
        <v>820</v>
      </c>
      <c r="E14">
        <v>3.2</v>
      </c>
    </row>
    <row r="15" spans="1:12" x14ac:dyDescent="0.3">
      <c r="A15" t="s">
        <v>38</v>
      </c>
      <c r="B15" t="s">
        <v>39</v>
      </c>
      <c r="C15">
        <v>4</v>
      </c>
      <c r="D15">
        <v>650</v>
      </c>
      <c r="E15">
        <v>2.6</v>
      </c>
    </row>
    <row r="16" spans="1:12" x14ac:dyDescent="0.3">
      <c r="A16" t="s">
        <v>40</v>
      </c>
      <c r="B16" t="s">
        <v>41</v>
      </c>
      <c r="C16">
        <v>6</v>
      </c>
      <c r="D16">
        <v>980</v>
      </c>
      <c r="E16">
        <v>4.2</v>
      </c>
    </row>
    <row r="17" spans="1:5" x14ac:dyDescent="0.3">
      <c r="A17" t="s">
        <v>42</v>
      </c>
      <c r="B17" t="s">
        <v>43</v>
      </c>
      <c r="C17">
        <v>3</v>
      </c>
      <c r="D17">
        <v>500</v>
      </c>
      <c r="E17">
        <v>1.9</v>
      </c>
    </row>
    <row r="18" spans="1:5" x14ac:dyDescent="0.3">
      <c r="A18" t="s">
        <v>44</v>
      </c>
      <c r="B18" t="s">
        <v>45</v>
      </c>
      <c r="C18">
        <v>7</v>
      </c>
      <c r="D18">
        <v>1150</v>
      </c>
      <c r="E18">
        <v>5.3</v>
      </c>
    </row>
    <row r="19" spans="1:5" x14ac:dyDescent="0.3">
      <c r="A19" t="s">
        <v>46</v>
      </c>
      <c r="B19" t="s">
        <v>47</v>
      </c>
      <c r="C19">
        <v>2</v>
      </c>
      <c r="D19">
        <v>340</v>
      </c>
      <c r="E19">
        <v>1.1000000000000001</v>
      </c>
    </row>
    <row r="20" spans="1:5" x14ac:dyDescent="0.3">
      <c r="A20" t="s">
        <v>48</v>
      </c>
      <c r="B20" t="s">
        <v>49</v>
      </c>
      <c r="C20">
        <v>5</v>
      </c>
      <c r="D20">
        <v>790</v>
      </c>
      <c r="E20">
        <v>3.1</v>
      </c>
    </row>
    <row r="21" spans="1:5" x14ac:dyDescent="0.3">
      <c r="A21" t="s">
        <v>50</v>
      </c>
      <c r="B21" t="s">
        <v>51</v>
      </c>
      <c r="C21">
        <v>4</v>
      </c>
      <c r="D21">
        <v>670</v>
      </c>
      <c r="E21">
        <v>2.7</v>
      </c>
    </row>
    <row r="22" spans="1:5" x14ac:dyDescent="0.3">
      <c r="A22" t="s">
        <v>52</v>
      </c>
      <c r="B22" t="s">
        <v>53</v>
      </c>
      <c r="C22">
        <v>6</v>
      </c>
      <c r="D22">
        <v>930</v>
      </c>
      <c r="E22">
        <v>4</v>
      </c>
    </row>
    <row r="23" spans="1:5" x14ac:dyDescent="0.3">
      <c r="A23" t="s">
        <v>54</v>
      </c>
      <c r="B23" t="s">
        <v>55</v>
      </c>
      <c r="C23">
        <v>3</v>
      </c>
      <c r="D23">
        <v>470</v>
      </c>
      <c r="E23">
        <v>1.7</v>
      </c>
    </row>
    <row r="24" spans="1:5" x14ac:dyDescent="0.3">
      <c r="A24" t="s">
        <v>56</v>
      </c>
      <c r="B24" t="s">
        <v>57</v>
      </c>
      <c r="C24">
        <v>7</v>
      </c>
      <c r="D24">
        <v>1200</v>
      </c>
      <c r="E24">
        <v>5.5</v>
      </c>
    </row>
    <row r="25" spans="1:5" x14ac:dyDescent="0.3">
      <c r="A25" t="s">
        <v>58</v>
      </c>
      <c r="B25" t="s">
        <v>59</v>
      </c>
      <c r="C25">
        <v>2</v>
      </c>
      <c r="D25">
        <v>330</v>
      </c>
      <c r="E25">
        <v>1</v>
      </c>
    </row>
    <row r="26" spans="1:5" x14ac:dyDescent="0.3">
      <c r="A26" t="s">
        <v>60</v>
      </c>
      <c r="B26" t="s">
        <v>61</v>
      </c>
      <c r="C26">
        <v>5</v>
      </c>
      <c r="D26">
        <v>810</v>
      </c>
      <c r="E26">
        <v>3.3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Gym_Fitness_Data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pranav chaitanya</cp:lastModifiedBy>
  <dcterms:created xsi:type="dcterms:W3CDTF">2026-05-26T15:31:28Z</dcterms:created>
  <dcterms:modified xsi:type="dcterms:W3CDTF">2026-05-26T15:44:29Z</dcterms:modified>
</cp:coreProperties>
</file>