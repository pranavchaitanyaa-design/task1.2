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pr\Downloads\"/>
    </mc:Choice>
  </mc:AlternateContent>
  <xr:revisionPtr revIDLastSave="0" documentId="8_{1D5DDAB3-4DAF-4C14-BF78-2888497F68E9}" xr6:coauthVersionLast="47" xr6:coauthVersionMax="47" xr10:uidLastSave="{00000000-0000-0000-0000-000000000000}"/>
  <bookViews>
    <workbookView xWindow="-108" yWindow="-108" windowWidth="23256" windowHeight="12456" activeTab="2" xr2:uid="{B9494F61-C369-49D2-9759-36E49976358E}"/>
  </bookViews>
  <sheets>
    <sheet name="Sheet3" sheetId="3" r:id="rId1"/>
    <sheet name="Sheet4" sheetId="4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<sst xmlns="http://schemas.openxmlformats.org/spreadsheetml/2006/main" count="125" uniqueCount="102">
  <si>
    <t>Emp ID</t>
  </si>
  <si>
    <t>Employee Name</t>
  </si>
  <si>
    <t>Department</t>
  </si>
  <si>
    <t>Experience</t>
  </si>
  <si>
    <t>Salary</t>
  </si>
  <si>
    <t>E001</t>
  </si>
  <si>
    <t>Ravi Kumar</t>
  </si>
  <si>
    <t>IT</t>
  </si>
  <si>
    <t>E002</t>
  </si>
  <si>
    <t>Sneha Rao</t>
  </si>
  <si>
    <t>HR</t>
  </si>
  <si>
    <t>E003</t>
  </si>
  <si>
    <t>Arjun Mehta</t>
  </si>
  <si>
    <t>Finance</t>
  </si>
  <si>
    <t>E004</t>
  </si>
  <si>
    <t>Priya Nair</t>
  </si>
  <si>
    <t>E005</t>
  </si>
  <si>
    <t>Karan Singh</t>
  </si>
  <si>
    <t>Marketing</t>
  </si>
  <si>
    <t>E006</t>
  </si>
  <si>
    <t>Neha Patel</t>
  </si>
  <si>
    <t>E007</t>
  </si>
  <si>
    <t>Rohit Das</t>
  </si>
  <si>
    <t>E008</t>
  </si>
  <si>
    <t>Anjali Verma</t>
  </si>
  <si>
    <t>E009</t>
  </si>
  <si>
    <t>Vikram Rao</t>
  </si>
  <si>
    <t>E010</t>
  </si>
  <si>
    <t>Meera Joshi</t>
  </si>
  <si>
    <t>E011</t>
  </si>
  <si>
    <t>Aman Jain</t>
  </si>
  <si>
    <t>E012</t>
  </si>
  <si>
    <t>Divya Sharma</t>
  </si>
  <si>
    <t>E013</t>
  </si>
  <si>
    <t>Suresh Reddy</t>
  </si>
  <si>
    <t>E014</t>
  </si>
  <si>
    <t>Kavya Menon</t>
  </si>
  <si>
    <t>E015</t>
  </si>
  <si>
    <t>Rahul Singh</t>
  </si>
  <si>
    <t>E016</t>
  </si>
  <si>
    <t>Pooja Nair</t>
  </si>
  <si>
    <t>E017</t>
  </si>
  <si>
    <t>Harish Kumar</t>
  </si>
  <si>
    <t>E018</t>
  </si>
  <si>
    <t>Riya Das</t>
  </si>
  <si>
    <t>E019</t>
  </si>
  <si>
    <t>Deepak Verma</t>
  </si>
  <si>
    <t>E020</t>
  </si>
  <si>
    <t>Snehal Iyer</t>
  </si>
  <si>
    <t>E021</t>
  </si>
  <si>
    <t>Manoj Patel</t>
  </si>
  <si>
    <t>E022</t>
  </si>
  <si>
    <t>Aarti Rao</t>
  </si>
  <si>
    <t>E023</t>
  </si>
  <si>
    <t>Vinay Sharma</t>
  </si>
  <si>
    <t>E024</t>
  </si>
  <si>
    <t>Tanya Gupta</t>
  </si>
  <si>
    <t>E025</t>
  </si>
  <si>
    <t>Kunal Jain</t>
  </si>
  <si>
    <t>MEAN</t>
  </si>
  <si>
    <t>MEDIUN</t>
  </si>
  <si>
    <t>MODE</t>
  </si>
  <si>
    <t>RANGE</t>
  </si>
  <si>
    <t>VARIANCE</t>
  </si>
  <si>
    <t>STD DEVITION</t>
  </si>
  <si>
    <t>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</si>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</sst>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Experience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8</c:v>
                </c:pt>
                <c:pt idx="19">
                  <c:v>4</c:v>
                </c:pt>
                <c:pt idx="20">
                  <c:v>6</c:v>
                </c:pt>
                <c:pt idx="21">
                  <c:v>7</c:v>
                </c:pt>
                <c:pt idx="22">
                  <c:v>3</c:v>
                </c:pt>
                <c:pt idx="23">
                  <c:v>5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4-43AB-B1A7-D8742E34C41A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35000</c:v>
                </c:pt>
                <c:pt idx="1">
                  <c:v>48000</c:v>
                </c:pt>
                <c:pt idx="2">
                  <c:v>62000</c:v>
                </c:pt>
                <c:pt idx="3">
                  <c:v>41000</c:v>
                </c:pt>
                <c:pt idx="4">
                  <c:v>55000</c:v>
                </c:pt>
                <c:pt idx="5">
                  <c:v>36000</c:v>
                </c:pt>
                <c:pt idx="6">
                  <c:v>70000</c:v>
                </c:pt>
                <c:pt idx="7">
                  <c:v>50000</c:v>
                </c:pt>
                <c:pt idx="8">
                  <c:v>64000</c:v>
                </c:pt>
                <c:pt idx="9">
                  <c:v>42000</c:v>
                </c:pt>
                <c:pt idx="10">
                  <c:v>58000</c:v>
                </c:pt>
                <c:pt idx="11">
                  <c:v>76000</c:v>
                </c:pt>
                <c:pt idx="12">
                  <c:v>51000</c:v>
                </c:pt>
                <c:pt idx="13">
                  <c:v>62000</c:v>
                </c:pt>
                <c:pt idx="14">
                  <c:v>72000</c:v>
                </c:pt>
                <c:pt idx="15">
                  <c:v>43000</c:v>
                </c:pt>
                <c:pt idx="16">
                  <c:v>34000</c:v>
                </c:pt>
                <c:pt idx="17">
                  <c:v>57000</c:v>
                </c:pt>
                <c:pt idx="18">
                  <c:v>79000</c:v>
                </c:pt>
                <c:pt idx="19">
                  <c:v>52000</c:v>
                </c:pt>
                <c:pt idx="20">
                  <c:v>65000</c:v>
                </c:pt>
                <c:pt idx="21">
                  <c:v>71000</c:v>
                </c:pt>
                <c:pt idx="22">
                  <c:v>44000</c:v>
                </c:pt>
                <c:pt idx="23">
                  <c:v>59000</c:v>
                </c:pt>
                <c:pt idx="2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4-43AB-B1A7-D8742E34C41A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55040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C4-43AB-B1A7-D8742E34C41A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MEDIUN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C4-43AB-B1A7-D8742E34C41A}"/>
            </c:ext>
          </c:extLst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MODE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C4-43AB-B1A7-D8742E34C41A}"/>
            </c:ext>
          </c:extLst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Sheet1!$I$2:$I$26</c:f>
              <c:numCache>
                <c:formatCode>General</c:formatCode>
                <c:ptCount val="25"/>
                <c:pt idx="0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C4-43AB-B1A7-D8742E34C41A}"/>
            </c:ext>
          </c:extLst>
        </c:ser>
        <c:ser>
          <c:idx val="6"/>
          <c:order val="6"/>
          <c:tx>
            <c:strRef>
              <c:f>Sheet1!$J$1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Sheet1!$J$2:$J$26</c:f>
              <c:numCache>
                <c:formatCode>General</c:formatCode>
                <c:ptCount val="25"/>
                <c:pt idx="0">
                  <c:v>168790000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C4-43AB-B1A7-D8742E34C41A}"/>
            </c:ext>
          </c:extLst>
        </c:ser>
        <c:ser>
          <c:idx val="7"/>
          <c:order val="7"/>
          <c:tx>
            <c:strRef>
              <c:f>Sheet1!$K$1</c:f>
              <c:strCache>
                <c:ptCount val="1"/>
                <c:pt idx="0">
                  <c:v>STD DEVITION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Sheet1!$K$2:$K$26</c:f>
              <c:numCache>
                <c:formatCode>General</c:formatCode>
                <c:ptCount val="25"/>
                <c:pt idx="0">
                  <c:v>12991.920566259632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C4-43AB-B1A7-D8742E34C41A}"/>
            </c:ext>
          </c:extLst>
        </c:ser>
        <c:ser>
          <c:idx val="8"/>
          <c:order val="8"/>
          <c:tx>
            <c:strRef>
              <c:f>Sheet1!$L$1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Sheet1!$A$2:$C$26</c15:sqref>
                  </c15:fullRef>
                  <c15:levelRef>
                    <c15:sqref>Sheet1!$A$2:$A$26</c15:sqref>
                  </c15:levelRef>
                </c:ext>
              </c:extLst>
              <c:f>Sheet1!$A$2:$A$26</c:f>
              <c:strCache>
                <c:ptCount val="25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  <c:pt idx="10">
                  <c:v>E011</c:v>
                </c:pt>
                <c:pt idx="11">
                  <c:v>E012</c:v>
                </c:pt>
                <c:pt idx="12">
                  <c:v>E013</c:v>
                </c:pt>
                <c:pt idx="13">
                  <c:v>E014</c:v>
                </c:pt>
                <c:pt idx="14">
                  <c:v>E015</c:v>
                </c:pt>
                <c:pt idx="15">
                  <c:v>E016</c:v>
                </c:pt>
                <c:pt idx="16">
                  <c:v>E017</c:v>
                </c:pt>
                <c:pt idx="17">
                  <c:v>E018</c:v>
                </c:pt>
                <c:pt idx="18">
                  <c:v>E019</c:v>
                </c:pt>
                <c:pt idx="19">
                  <c:v>E020</c:v>
                </c:pt>
                <c:pt idx="20">
                  <c:v>E021</c:v>
                </c:pt>
                <c:pt idx="21">
                  <c:v>E022</c:v>
                </c:pt>
                <c:pt idx="22">
                  <c:v>E023</c:v>
                </c:pt>
                <c:pt idx="23">
                  <c:v>E024</c:v>
                </c:pt>
                <c:pt idx="24">
                  <c:v>E025</c:v>
                </c:pt>
              </c:strCache>
            </c:strRef>
          </c:cat>
          <c:val>
            <c:numRef>
              <c:f>Sheet1!$L$2:$L$26</c:f>
              <c:numCache>
                <c:formatCode>General</c:formatCode>
                <c:ptCount val="25"/>
                <c:pt idx="0">
                  <c:v>0.99470223885714493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C4-43AB-B1A7-D8742E34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2598352"/>
        <c:axId val="892586832"/>
        <c:axId val="0"/>
      </c:bar3DChart>
      <c:catAx>
        <c:axId val="89259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86832"/>
        <c:crosses val="autoZero"/>
        <c:auto val="1"/>
        <c:lblAlgn val="ctr"/>
        <c:lblOffset val="100"/>
        <c:noMultiLvlLbl val="0"/>
      </c:catAx>
      <c:valAx>
        <c:axId val="8925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9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Experience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8</c:v>
                </c:pt>
                <c:pt idx="19">
                  <c:v>4</c:v>
                </c:pt>
                <c:pt idx="20">
                  <c:v>6</c:v>
                </c:pt>
                <c:pt idx="21">
                  <c:v>7</c:v>
                </c:pt>
                <c:pt idx="22">
                  <c:v>3</c:v>
                </c:pt>
                <c:pt idx="23">
                  <c:v>5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3-4A9F-8A7D-4D6E4068514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35000</c:v>
                </c:pt>
                <c:pt idx="1">
                  <c:v>48000</c:v>
                </c:pt>
                <c:pt idx="2">
                  <c:v>62000</c:v>
                </c:pt>
                <c:pt idx="3">
                  <c:v>41000</c:v>
                </c:pt>
                <c:pt idx="4">
                  <c:v>55000</c:v>
                </c:pt>
                <c:pt idx="5">
                  <c:v>36000</c:v>
                </c:pt>
                <c:pt idx="6">
                  <c:v>70000</c:v>
                </c:pt>
                <c:pt idx="7">
                  <c:v>50000</c:v>
                </c:pt>
                <c:pt idx="8">
                  <c:v>64000</c:v>
                </c:pt>
                <c:pt idx="9">
                  <c:v>42000</c:v>
                </c:pt>
                <c:pt idx="10">
                  <c:v>58000</c:v>
                </c:pt>
                <c:pt idx="11">
                  <c:v>76000</c:v>
                </c:pt>
                <c:pt idx="12">
                  <c:v>51000</c:v>
                </c:pt>
                <c:pt idx="13">
                  <c:v>62000</c:v>
                </c:pt>
                <c:pt idx="14">
                  <c:v>72000</c:v>
                </c:pt>
                <c:pt idx="15">
                  <c:v>43000</c:v>
                </c:pt>
                <c:pt idx="16">
                  <c:v>34000</c:v>
                </c:pt>
                <c:pt idx="17">
                  <c:v>57000</c:v>
                </c:pt>
                <c:pt idx="18">
                  <c:v>79000</c:v>
                </c:pt>
                <c:pt idx="19">
                  <c:v>52000</c:v>
                </c:pt>
                <c:pt idx="20">
                  <c:v>65000</c:v>
                </c:pt>
                <c:pt idx="21">
                  <c:v>71000</c:v>
                </c:pt>
                <c:pt idx="22">
                  <c:v>44000</c:v>
                </c:pt>
                <c:pt idx="23">
                  <c:v>59000</c:v>
                </c:pt>
                <c:pt idx="2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3-4A9F-8A7D-4D6E4068514F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MEAN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55040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3-4A9F-8A7D-4D6E4068514F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MEDIUN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3-4A9F-8A7D-4D6E4068514F}"/>
            </c:ext>
          </c:extLst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MODE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C3-4A9F-8A7D-4D6E4068514F}"/>
            </c:ext>
          </c:extLst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Sheet1!$I$2:$I$26</c:f>
              <c:numCache>
                <c:formatCode>General</c:formatCode>
                <c:ptCount val="25"/>
                <c:pt idx="0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C3-4A9F-8A7D-4D6E4068514F}"/>
            </c:ext>
          </c:extLst>
        </c:ser>
        <c:ser>
          <c:idx val="6"/>
          <c:order val="6"/>
          <c:tx>
            <c:strRef>
              <c:f>Sheet1!$J$1</c:f>
              <c:strCache>
                <c:ptCount val="1"/>
                <c:pt idx="0">
                  <c:v>VARIANCE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Sheet1!$J$2:$J$26</c:f>
              <c:numCache>
                <c:formatCode>General</c:formatCode>
                <c:ptCount val="25"/>
                <c:pt idx="0">
                  <c:v>168790000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C3-4A9F-8A7D-4D6E4068514F}"/>
            </c:ext>
          </c:extLst>
        </c:ser>
        <c:ser>
          <c:idx val="7"/>
          <c:order val="7"/>
          <c:tx>
            <c:strRef>
              <c:f>Sheet1!$K$1</c:f>
              <c:strCache>
                <c:ptCount val="1"/>
                <c:pt idx="0">
                  <c:v>STD DEVITION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Sheet1!$K$2:$K$26</c:f>
              <c:numCache>
                <c:formatCode>General</c:formatCode>
                <c:ptCount val="25"/>
                <c:pt idx="0">
                  <c:v>12991.920566259632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C3-4A9F-8A7D-4D6E4068514F}"/>
            </c:ext>
          </c:extLst>
        </c:ser>
        <c:ser>
          <c:idx val="8"/>
          <c:order val="8"/>
          <c:tx>
            <c:strRef>
              <c:f>Sheet1!$L$1</c:f>
              <c:strCache>
                <c:ptCount val="1"/>
                <c:pt idx="0">
                  <c:v>CORRELATION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Sheet1!$L$2:$L$26</c:f>
              <c:numCache>
                <c:formatCode>General</c:formatCode>
                <c:ptCount val="25"/>
                <c:pt idx="0">
                  <c:v>0.99470223885714493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C3-4A9F-8A7D-4D6E40685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3</xdr:row>
      <xdr:rowOff>186690</xdr:rowOff>
    </xdr:from>
    <xdr:to>
      <xdr:col>11</xdr:col>
      <xdr:colOff>777240</xdr:colOff>
      <xdr:row>12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4B0F1-8BF8-AB2B-02B4-7B09D73AE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99060</xdr:colOff>
      <xdr:row>12</xdr:row>
      <xdr:rowOff>224790</xdr:rowOff>
    </xdr:from>
    <xdr:to>
      <xdr:col>11</xdr:col>
      <xdr:colOff>883920</xdr:colOff>
      <xdr:row>24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0F9F11-DE27-EB2C-1035-F1D2EDB5C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08E2-DD52-4879-99D0-DC93E407CC8D}">
  <dimension ref="A1:B15"/>
  <sheetViews>
    <sheetView workbookViewId="0">
      <selection sqref="A1:B15"/>
    </sheetView>
  </sheetViews>
  <sheetFormatPr defaultRowHeight="14.4" x14ac:dyDescent="0.3"/>
  <cols>
    <col min="1" max="1" width="24.109375" customWidth="1"/>
    <col min="2" max="2" width="17.33203125" customWidth="1"/>
  </cols>
  <sheetData>
    <row r="1" spans="1:2" x14ac:dyDescent="0.3">
      <c r="A1" s="7">
        <v>35000</v>
      </c>
      <c r="B1" s="7"/>
    </row>
    <row r="2" spans="1:2" x14ac:dyDescent="0.3">
      <c r="A2" s="4"/>
      <c r="B2" s="4"/>
    </row>
    <row r="3" spans="1:2" x14ac:dyDescent="0.3">
      <c r="A3" s="4" t="s">
        <v>66</v>
      </c>
      <c r="B3" s="4">
        <v>55875</v>
      </c>
    </row>
    <row r="4" spans="1:2" x14ac:dyDescent="0.3">
      <c r="A4" s="4" t="s">
        <v>67</v>
      </c>
      <c r="B4" s="4">
        <v>2565.3152615817708</v>
      </c>
    </row>
    <row r="5" spans="1:2" x14ac:dyDescent="0.3">
      <c r="A5" s="4" t="s">
        <v>68</v>
      </c>
      <c r="B5" s="4">
        <v>56000</v>
      </c>
    </row>
    <row r="6" spans="1:2" x14ac:dyDescent="0.3">
      <c r="A6" s="4" t="s">
        <v>69</v>
      </c>
      <c r="B6" s="4">
        <v>62000</v>
      </c>
    </row>
    <row r="7" spans="1:2" x14ac:dyDescent="0.3">
      <c r="A7" s="4" t="s">
        <v>70</v>
      </c>
      <c r="B7" s="4">
        <v>12567.426840499385</v>
      </c>
    </row>
    <row r="8" spans="1:2" x14ac:dyDescent="0.3">
      <c r="A8" s="4" t="s">
        <v>71</v>
      </c>
      <c r="B8" s="4">
        <v>157940217.39130434</v>
      </c>
    </row>
    <row r="9" spans="1:2" x14ac:dyDescent="0.3">
      <c r="A9" s="4" t="s">
        <v>72</v>
      </c>
      <c r="B9" s="4">
        <v>-0.83330061743443595</v>
      </c>
    </row>
    <row r="10" spans="1:2" x14ac:dyDescent="0.3">
      <c r="A10" s="4" t="s">
        <v>73</v>
      </c>
      <c r="B10" s="4">
        <v>8.66767978699928E-2</v>
      </c>
    </row>
    <row r="11" spans="1:2" x14ac:dyDescent="0.3">
      <c r="A11" s="4" t="s">
        <v>74</v>
      </c>
      <c r="B11" s="4">
        <v>45000</v>
      </c>
    </row>
    <row r="12" spans="1:2" x14ac:dyDescent="0.3">
      <c r="A12" s="4" t="s">
        <v>75</v>
      </c>
      <c r="B12" s="4">
        <v>34000</v>
      </c>
    </row>
    <row r="13" spans="1:2" x14ac:dyDescent="0.3">
      <c r="A13" s="4" t="s">
        <v>76</v>
      </c>
      <c r="B13" s="4">
        <v>79000</v>
      </c>
    </row>
    <row r="14" spans="1:2" x14ac:dyDescent="0.3">
      <c r="A14" s="4" t="s">
        <v>77</v>
      </c>
      <c r="B14" s="4">
        <v>1341000</v>
      </c>
    </row>
    <row r="15" spans="1:2" ht="15" thickBot="1" x14ac:dyDescent="0.35">
      <c r="A15" s="5" t="s">
        <v>78</v>
      </c>
      <c r="B15" s="5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B8A1-D3FA-4E38-86FB-B4BE39F73F01}">
  <dimension ref="A1:I18"/>
  <sheetViews>
    <sheetView workbookViewId="0">
      <selection sqref="A1:I21"/>
    </sheetView>
  </sheetViews>
  <sheetFormatPr defaultRowHeight="14.4" x14ac:dyDescent="0.3"/>
  <sheetData>
    <row r="1" spans="1:9" x14ac:dyDescent="0.3">
      <c r="A1" t="s">
        <v>79</v>
      </c>
    </row>
    <row r="2" spans="1:9" ht="15" thickBot="1" x14ac:dyDescent="0.35"/>
    <row r="3" spans="1:9" x14ac:dyDescent="0.3">
      <c r="A3" s="7" t="s">
        <v>80</v>
      </c>
      <c r="B3" s="7"/>
    </row>
    <row r="4" spans="1:9" x14ac:dyDescent="0.3">
      <c r="A4" s="4" t="s">
        <v>81</v>
      </c>
      <c r="B4" s="4">
        <v>0.99414267622229524</v>
      </c>
    </row>
    <row r="5" spans="1:9" x14ac:dyDescent="0.3">
      <c r="A5" s="4" t="s">
        <v>82</v>
      </c>
      <c r="B5" s="4">
        <v>0.98831966068642729</v>
      </c>
    </row>
    <row r="6" spans="1:9" x14ac:dyDescent="0.3">
      <c r="A6" s="4" t="s">
        <v>83</v>
      </c>
      <c r="B6" s="4">
        <v>0.987788736172174</v>
      </c>
    </row>
    <row r="7" spans="1:9" x14ac:dyDescent="0.3">
      <c r="A7" s="4" t="s">
        <v>67</v>
      </c>
      <c r="B7" s="4">
        <v>1388.7583171990073</v>
      </c>
    </row>
    <row r="8" spans="1:9" ht="15" thickBot="1" x14ac:dyDescent="0.35">
      <c r="A8" s="5" t="s">
        <v>84</v>
      </c>
      <c r="B8" s="5">
        <v>24</v>
      </c>
    </row>
    <row r="10" spans="1:9" ht="15" thickBot="1" x14ac:dyDescent="0.35">
      <c r="A10" t="s">
        <v>85</v>
      </c>
    </row>
    <row r="11" spans="1:9" x14ac:dyDescent="0.3">
      <c r="A11" s="6"/>
      <c r="B11" s="6" t="s">
        <v>90</v>
      </c>
      <c r="C11" s="6" t="s">
        <v>91</v>
      </c>
      <c r="D11" s="6" t="s">
        <v>92</v>
      </c>
      <c r="E11" s="6" t="s">
        <v>93</v>
      </c>
      <c r="F11" s="6" t="s">
        <v>94</v>
      </c>
    </row>
    <row r="12" spans="1:9" x14ac:dyDescent="0.3">
      <c r="A12" s="4" t="s">
        <v>86</v>
      </c>
      <c r="B12" s="4">
        <v>1</v>
      </c>
      <c r="C12" s="4">
        <v>3590194707.4010329</v>
      </c>
      <c r="D12" s="4">
        <v>3590194707.4010329</v>
      </c>
      <c r="E12" s="4">
        <v>1861.506926415711</v>
      </c>
      <c r="F12" s="4">
        <v>9.3356156481114242E-23</v>
      </c>
    </row>
    <row r="13" spans="1:9" x14ac:dyDescent="0.3">
      <c r="A13" s="4" t="s">
        <v>87</v>
      </c>
      <c r="B13" s="4">
        <v>22</v>
      </c>
      <c r="C13" s="4">
        <v>42430292.598967202</v>
      </c>
      <c r="D13" s="4">
        <v>1928649.6635894182</v>
      </c>
      <c r="E13" s="4"/>
      <c r="F13" s="4"/>
    </row>
    <row r="14" spans="1:9" ht="15" thickBot="1" x14ac:dyDescent="0.35">
      <c r="A14" s="5" t="s">
        <v>88</v>
      </c>
      <c r="B14" s="5">
        <v>23</v>
      </c>
      <c r="C14" s="5">
        <v>3632625000</v>
      </c>
      <c r="D14" s="5"/>
      <c r="E14" s="5"/>
      <c r="F14" s="5"/>
    </row>
    <row r="15" spans="1:9" ht="15" thickBot="1" x14ac:dyDescent="0.35"/>
    <row r="16" spans="1:9" x14ac:dyDescent="0.3">
      <c r="A16" s="6"/>
      <c r="B16" s="6" t="s">
        <v>95</v>
      </c>
      <c r="C16" s="6" t="s">
        <v>67</v>
      </c>
      <c r="D16" s="6" t="s">
        <v>96</v>
      </c>
      <c r="E16" s="6" t="s">
        <v>97</v>
      </c>
      <c r="F16" s="6" t="s">
        <v>98</v>
      </c>
      <c r="G16" s="6" t="s">
        <v>99</v>
      </c>
      <c r="H16" s="6" t="s">
        <v>100</v>
      </c>
      <c r="I16" s="6" t="s">
        <v>101</v>
      </c>
    </row>
    <row r="17" spans="1:9" x14ac:dyDescent="0.3">
      <c r="A17" s="4" t="s">
        <v>89</v>
      </c>
      <c r="B17" s="4">
        <v>21598.96729776245</v>
      </c>
      <c r="C17" s="4">
        <v>843.49685146572142</v>
      </c>
      <c r="D17" s="4">
        <v>25.606458708447477</v>
      </c>
      <c r="E17" s="4">
        <v>7.2054113110738082E-18</v>
      </c>
      <c r="F17" s="4">
        <v>19849.661894645847</v>
      </c>
      <c r="G17" s="4">
        <v>23348.272700879053</v>
      </c>
      <c r="H17" s="4">
        <v>19849.661894645847</v>
      </c>
      <c r="I17" s="4">
        <v>23348.272700879053</v>
      </c>
    </row>
    <row r="18" spans="1:9" ht="15" thickBot="1" x14ac:dyDescent="0.35">
      <c r="A18" s="5">
        <v>2</v>
      </c>
      <c r="B18" s="5">
        <v>7030.981067125651</v>
      </c>
      <c r="C18" s="5">
        <v>162.96096968226919</v>
      </c>
      <c r="D18" s="5">
        <v>43.145184278383994</v>
      </c>
      <c r="E18" s="5">
        <v>9.3356156481113572E-23</v>
      </c>
      <c r="F18" s="5">
        <v>6693.0207009820688</v>
      </c>
      <c r="G18" s="5">
        <v>7368.9414332692331</v>
      </c>
      <c r="H18" s="5">
        <v>6693.0207009820688</v>
      </c>
      <c r="I18" s="5">
        <v>7368.9414332692331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764E-84AB-4A28-BEFB-C33AF5DB1B21}">
  <dimension ref="A1:L26"/>
  <sheetViews>
    <sheetView tabSelected="1" workbookViewId="0">
      <selection activeCell="O13" sqref="O13"/>
    </sheetView>
  </sheetViews>
  <sheetFormatPr defaultRowHeight="14.4" x14ac:dyDescent="0.3"/>
  <cols>
    <col min="1" max="1" width="17.77734375" customWidth="1"/>
    <col min="2" max="3" width="15.109375" customWidth="1"/>
    <col min="4" max="4" width="18.88671875" customWidth="1"/>
    <col min="5" max="5" width="15.109375" customWidth="1"/>
    <col min="10" max="10" width="14.109375" customWidth="1"/>
    <col min="11" max="11" width="14.44140625" customWidth="1"/>
    <col min="12" max="12" width="18.5546875" customWidth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</row>
    <row r="2" spans="1:12" x14ac:dyDescent="0.3">
      <c r="A2" s="2" t="s">
        <v>5</v>
      </c>
      <c r="B2" s="2" t="s">
        <v>6</v>
      </c>
      <c r="C2" s="2" t="s">
        <v>7</v>
      </c>
      <c r="D2" s="2">
        <v>2</v>
      </c>
      <c r="E2" s="2">
        <v>35000</v>
      </c>
      <c r="F2">
        <f>AVERAGE(E2:E26)</f>
        <v>55040</v>
      </c>
      <c r="G2">
        <f>MEDIAN(E2:E26)</f>
        <v>55000</v>
      </c>
      <c r="H2">
        <f>MODE(E2:E26)</f>
        <v>62000</v>
      </c>
      <c r="I2">
        <f>MAX(E2:E26)-MIN(E2:E26)</f>
        <v>45000</v>
      </c>
      <c r="J2">
        <f>_xlfn.VAR.S(E2:E26)</f>
        <v>168790000</v>
      </c>
      <c r="K2">
        <f>_xlfn.STDEV.S(E2:E26)</f>
        <v>12991.920566259632</v>
      </c>
      <c r="L2">
        <f>CORREL(E2:E26,D2:D26)</f>
        <v>0.99470223885714493</v>
      </c>
    </row>
    <row r="3" spans="1:12" x14ac:dyDescent="0.3">
      <c r="A3" s="2" t="s">
        <v>8</v>
      </c>
      <c r="B3" s="2" t="s">
        <v>9</v>
      </c>
      <c r="C3" s="2" t="s">
        <v>10</v>
      </c>
      <c r="D3" s="2">
        <v>4</v>
      </c>
      <c r="E3" s="2">
        <v>48000</v>
      </c>
    </row>
    <row r="4" spans="1:12" ht="28.8" x14ac:dyDescent="0.3">
      <c r="A4" s="2" t="s">
        <v>11</v>
      </c>
      <c r="B4" s="2" t="s">
        <v>12</v>
      </c>
      <c r="C4" s="2" t="s">
        <v>13</v>
      </c>
      <c r="D4" s="2">
        <v>6</v>
      </c>
      <c r="E4" s="2">
        <v>62000</v>
      </c>
    </row>
    <row r="5" spans="1:12" x14ac:dyDescent="0.3">
      <c r="A5" s="2" t="s">
        <v>14</v>
      </c>
      <c r="B5" s="2" t="s">
        <v>15</v>
      </c>
      <c r="C5" s="2" t="s">
        <v>7</v>
      </c>
      <c r="D5" s="2">
        <v>3</v>
      </c>
      <c r="E5" s="2">
        <v>41000</v>
      </c>
    </row>
    <row r="6" spans="1:12" ht="28.8" x14ac:dyDescent="0.3">
      <c r="A6" s="2" t="s">
        <v>16</v>
      </c>
      <c r="B6" s="2" t="s">
        <v>17</v>
      </c>
      <c r="C6" s="2" t="s">
        <v>18</v>
      </c>
      <c r="D6" s="2">
        <v>5</v>
      </c>
      <c r="E6" s="2">
        <v>55000</v>
      </c>
    </row>
    <row r="7" spans="1:12" ht="28.8" x14ac:dyDescent="0.3">
      <c r="A7" s="2" t="s">
        <v>19</v>
      </c>
      <c r="B7" s="2" t="s">
        <v>20</v>
      </c>
      <c r="C7" s="2" t="s">
        <v>10</v>
      </c>
      <c r="D7" s="2">
        <v>2</v>
      </c>
      <c r="E7" s="2">
        <v>36000</v>
      </c>
    </row>
    <row r="8" spans="1:12" x14ac:dyDescent="0.3">
      <c r="A8" s="2" t="s">
        <v>21</v>
      </c>
      <c r="B8" s="2" t="s">
        <v>22</v>
      </c>
      <c r="C8" s="2" t="s">
        <v>13</v>
      </c>
      <c r="D8" s="2">
        <v>7</v>
      </c>
      <c r="E8" s="2">
        <v>70000</v>
      </c>
    </row>
    <row r="9" spans="1:12" ht="28.8" x14ac:dyDescent="0.3">
      <c r="A9" s="2" t="s">
        <v>23</v>
      </c>
      <c r="B9" s="2" t="s">
        <v>24</v>
      </c>
      <c r="C9" s="2" t="s">
        <v>7</v>
      </c>
      <c r="D9" s="2">
        <v>4</v>
      </c>
      <c r="E9" s="2">
        <v>50000</v>
      </c>
    </row>
    <row r="10" spans="1:12" ht="28.8" x14ac:dyDescent="0.3">
      <c r="A10" s="2" t="s">
        <v>25</v>
      </c>
      <c r="B10" s="2" t="s">
        <v>26</v>
      </c>
      <c r="C10" s="2" t="s">
        <v>18</v>
      </c>
      <c r="D10" s="2">
        <v>6</v>
      </c>
      <c r="E10" s="2">
        <v>64000</v>
      </c>
    </row>
    <row r="11" spans="1:12" ht="28.8" x14ac:dyDescent="0.3">
      <c r="A11" s="2" t="s">
        <v>27</v>
      </c>
      <c r="B11" s="2" t="s">
        <v>28</v>
      </c>
      <c r="C11" s="2" t="s">
        <v>10</v>
      </c>
      <c r="D11" s="2">
        <v>3</v>
      </c>
      <c r="E11" s="2">
        <v>42000</v>
      </c>
    </row>
    <row r="12" spans="1:12" ht="28.8" x14ac:dyDescent="0.3">
      <c r="A12" s="2" t="s">
        <v>29</v>
      </c>
      <c r="B12" s="2" t="s">
        <v>30</v>
      </c>
      <c r="C12" s="2" t="s">
        <v>7</v>
      </c>
      <c r="D12" s="2">
        <v>5</v>
      </c>
      <c r="E12" s="2">
        <v>58000</v>
      </c>
    </row>
    <row r="13" spans="1:12" ht="28.8" x14ac:dyDescent="0.3">
      <c r="A13" s="2" t="s">
        <v>31</v>
      </c>
      <c r="B13" s="2" t="s">
        <v>32</v>
      </c>
      <c r="C13" s="2" t="s">
        <v>13</v>
      </c>
      <c r="D13" s="2">
        <v>8</v>
      </c>
      <c r="E13" s="2">
        <v>76000</v>
      </c>
    </row>
    <row r="14" spans="1:12" ht="28.8" x14ac:dyDescent="0.3">
      <c r="A14" s="2" t="s">
        <v>33</v>
      </c>
      <c r="B14" s="2" t="s">
        <v>34</v>
      </c>
      <c r="C14" s="2" t="s">
        <v>18</v>
      </c>
      <c r="D14" s="2">
        <v>4</v>
      </c>
      <c r="E14" s="2">
        <v>51000</v>
      </c>
    </row>
    <row r="15" spans="1:12" ht="28.8" x14ac:dyDescent="0.3">
      <c r="A15" s="2" t="s">
        <v>35</v>
      </c>
      <c r="B15" s="2" t="s">
        <v>36</v>
      </c>
      <c r="C15" s="2" t="s">
        <v>10</v>
      </c>
      <c r="D15" s="2">
        <v>6</v>
      </c>
      <c r="E15" s="2">
        <v>62000</v>
      </c>
    </row>
    <row r="16" spans="1:12" ht="28.8" x14ac:dyDescent="0.3">
      <c r="A16" s="2" t="s">
        <v>37</v>
      </c>
      <c r="B16" s="2" t="s">
        <v>38</v>
      </c>
      <c r="C16" s="2" t="s">
        <v>7</v>
      </c>
      <c r="D16" s="2">
        <v>7</v>
      </c>
      <c r="E16" s="2">
        <v>72000</v>
      </c>
    </row>
    <row r="17" spans="1:5" x14ac:dyDescent="0.3">
      <c r="A17" s="2" t="s">
        <v>39</v>
      </c>
      <c r="B17" s="2" t="s">
        <v>40</v>
      </c>
      <c r="C17" s="2" t="s">
        <v>13</v>
      </c>
      <c r="D17" s="2">
        <v>3</v>
      </c>
      <c r="E17" s="2">
        <v>43000</v>
      </c>
    </row>
    <row r="18" spans="1:5" x14ac:dyDescent="0.3">
      <c r="A18" s="2" t="s">
        <v>41</v>
      </c>
      <c r="B18" s="2" t="s">
        <v>42</v>
      </c>
      <c r="C18" s="2" t="s">
        <v>18</v>
      </c>
      <c r="D18" s="2">
        <v>2</v>
      </c>
      <c r="E18" s="2">
        <v>34000</v>
      </c>
    </row>
    <row r="19" spans="1:5" x14ac:dyDescent="0.3">
      <c r="A19" s="2" t="s">
        <v>43</v>
      </c>
      <c r="B19" s="2" t="s">
        <v>44</v>
      </c>
      <c r="C19" s="2" t="s">
        <v>10</v>
      </c>
      <c r="D19" s="2">
        <v>5</v>
      </c>
      <c r="E19" s="2">
        <v>57000</v>
      </c>
    </row>
    <row r="20" spans="1:5" x14ac:dyDescent="0.3">
      <c r="A20" s="2" t="s">
        <v>45</v>
      </c>
      <c r="B20" s="2" t="s">
        <v>46</v>
      </c>
      <c r="C20" s="2" t="s">
        <v>7</v>
      </c>
      <c r="D20" s="2">
        <v>8</v>
      </c>
      <c r="E20" s="2">
        <v>79000</v>
      </c>
    </row>
    <row r="21" spans="1:5" x14ac:dyDescent="0.3">
      <c r="A21" s="2" t="s">
        <v>47</v>
      </c>
      <c r="B21" s="2" t="s">
        <v>48</v>
      </c>
      <c r="C21" s="2" t="s">
        <v>13</v>
      </c>
      <c r="D21" s="2">
        <v>4</v>
      </c>
      <c r="E21" s="2">
        <v>52000</v>
      </c>
    </row>
    <row r="22" spans="1:5" x14ac:dyDescent="0.3">
      <c r="A22" s="2" t="s">
        <v>49</v>
      </c>
      <c r="B22" s="2" t="s">
        <v>50</v>
      </c>
      <c r="C22" s="2" t="s">
        <v>18</v>
      </c>
      <c r="D22" s="2">
        <v>6</v>
      </c>
      <c r="E22" s="2">
        <v>65000</v>
      </c>
    </row>
    <row r="23" spans="1:5" x14ac:dyDescent="0.3">
      <c r="A23" s="2" t="s">
        <v>51</v>
      </c>
      <c r="B23" s="2" t="s">
        <v>52</v>
      </c>
      <c r="C23" s="2" t="s">
        <v>10</v>
      </c>
      <c r="D23" s="2">
        <v>7</v>
      </c>
      <c r="E23" s="2">
        <v>71000</v>
      </c>
    </row>
    <row r="24" spans="1:5" x14ac:dyDescent="0.3">
      <c r="A24" s="2" t="s">
        <v>53</v>
      </c>
      <c r="B24" s="2" t="s">
        <v>54</v>
      </c>
      <c r="C24" s="2" t="s">
        <v>7</v>
      </c>
      <c r="D24" s="2">
        <v>3</v>
      </c>
      <c r="E24" s="2">
        <v>44000</v>
      </c>
    </row>
    <row r="25" spans="1:5" x14ac:dyDescent="0.3">
      <c r="A25" s="2" t="s">
        <v>55</v>
      </c>
      <c r="B25" s="2" t="s">
        <v>56</v>
      </c>
      <c r="C25" s="2" t="s">
        <v>13</v>
      </c>
      <c r="D25" s="2">
        <v>5</v>
      </c>
      <c r="E25" s="2">
        <v>59000</v>
      </c>
    </row>
    <row r="26" spans="1:5" x14ac:dyDescent="0.3">
      <c r="A26" s="2" t="s">
        <v>57</v>
      </c>
      <c r="B26" s="2" t="s">
        <v>58</v>
      </c>
      <c r="C26" s="2" t="s">
        <v>18</v>
      </c>
      <c r="D26" s="2">
        <v>4</v>
      </c>
      <c r="E26" s="2">
        <v>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pranav chaitanya</dc:creator>
  <cp:lastModifiedBy>sai pranav chaitanya</cp:lastModifiedBy>
  <dcterms:created xsi:type="dcterms:W3CDTF">2026-05-26T15:16:57Z</dcterms:created>
  <dcterms:modified xsi:type="dcterms:W3CDTF">2026-05-26T15:35:14Z</dcterms:modified>
</cp:coreProperties>
</file>